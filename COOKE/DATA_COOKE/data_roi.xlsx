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<sst xmlns="http://schemas.openxmlformats.org/spreadsheetml/2006/main" count="164" uniqueCount="91">
  <si>
    <t>QUE1</t>
  </si>
  <si>
    <t>QUE2</t>
  </si>
  <si>
    <t>QUE3</t>
  </si>
  <si>
    <t>QUE4</t>
  </si>
  <si>
    <t>QUE5</t>
  </si>
  <si>
    <t>QUE6</t>
  </si>
  <si>
    <t>QUE7</t>
  </si>
  <si>
    <t>QUE8</t>
  </si>
  <si>
    <t>QUE9</t>
  </si>
  <si>
    <t>QUE10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</si>
  <si>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</si>
  <si>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</si>
  <si>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</si>
  <si>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</si>
  <si>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</si>
  <si>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</si>
  <si>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</si>
  <si>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</si>
  <si>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</si>
  <si>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</si>
  <si>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</si>
  <si>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</si>
  <si>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</si>
  <si>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</si>
  <si>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</si>
  <si>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</si>
  <si>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</si>
  <si>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</si>
  <si>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EXPERT19</t>
  </si>
  <si>
    <t>EXPERT20</t>
  </si>
  <si>
    <t>序号</t>
  </si>
  <si>
    <t>问题</t>
  </si>
  <si>
    <t>Ex. 1</t>
  </si>
  <si>
    <t>Ex. 2</t>
  </si>
  <si>
    <t>Ex. 3</t>
  </si>
  <si>
    <t>Ex. 4</t>
  </si>
  <si>
    <t>Ex. 5</t>
  </si>
  <si>
    <t>Ex. 6</t>
  </si>
  <si>
    <t>Ex. 7</t>
  </si>
  <si>
    <t>Ex. 8</t>
  </si>
  <si>
    <t>Ex. 9</t>
  </si>
  <si>
    <t>Ex. 10</t>
  </si>
  <si>
    <t>Ex. 11</t>
  </si>
  <si>
    <t>Ex. 12</t>
  </si>
  <si>
    <t>Ex. 13</t>
  </si>
  <si>
    <t>Ex. 14</t>
  </si>
  <si>
    <t>Ex. 15</t>
  </si>
  <si>
    <t>Ex. 16</t>
  </si>
  <si>
    <t>Ex. 17</t>
  </si>
  <si>
    <t>Ex. 18</t>
  </si>
  <si>
    <t>Ex. 19</t>
  </si>
  <si>
    <t>Ex. 20</t>
  </si>
  <si>
    <t>Realization</t>
  </si>
  <si>
    <t>What was the infant death rate (per 1000 live births) in grantee states in 2008?
2008年，受资助州的婴儿死亡率（每 1000 例活产儿）是多少？</t>
  </si>
  <si>
    <t>What was the percent change in the number of lifetime asthma cases in the US from 2003 to 2010?
从 2003 年到 2010 年，美国哮喘终生病例数的百分比变化是多少？</t>
  </si>
  <si>
    <t>During 1999-2004, how many deaths occurred as a result of unintentional, non-fire related carbon monoxide poisoning in the US?
1999-2004 年间，美国有多少人死于与火灾无关的意外一氧化碳中毒？</t>
  </si>
  <si>
    <t>Based on data from 2007-2009, what is the lifetime risk of cancer in the US?
根据 2007-2009 年的数据，美国人一生中患癌症的风险是多少？</t>
  </si>
  <si>
    <t>In 2005, of all children (&lt;72 months) who were tested for EBLL, what percentage had confirmed EBLL?
2005 年，在所有接受过 EBLL 检测的儿童（小于 72 个月）中，确诊为 EBLL 的比例是多少？</t>
  </si>
  <si>
    <t>What was the number of days from Jan 1, 2008 to Dec 31, 2010 with orange grade ozone layer in LA county, California?
从 2008 年 1 月 1 日到 2010 年 12 月 31 日，加利福尼亚州洛杉矶臭氧层为橙色的天数是多少？</t>
  </si>
  <si>
    <t>What percentage of non-institutionalized US adults was first diagnosed with coronary heart disease in 2010?
2010 年，首次被诊断出患有冠心病的美国非住院成年人的比例是多少？</t>
  </si>
  <si>
    <t>What was the number of traffic fatalities in grantee states in 2009?
2009 年受资助州的交通事故死亡人数是多少？</t>
  </si>
  <si>
    <t>What was the prevalence of Down syndrome per 10,000 live births in the US during 2004-06?
2004-06 年间，美国每万名活产婴儿中唐氏综合症的发病率是多少？</t>
  </si>
  <si>
    <t>What is the ratio of the number of people with health insurance in grantee states to that in non-grantee states?
受资助州与非受资助州享有医疗保险的人数比例是多少？</t>
  </si>
  <si>
    <t>QUE1: What was the infant death rate (per 1000 live births) in grantee states in 2008?
问题 1：2008年，受资助州的婴儿死亡率（每 1000 例活产儿）是多少？</t>
  </si>
  <si>
    <t>Mean</t>
  </si>
  <si>
    <t>原始
数据</t>
  </si>
  <si>
    <t>标准化
数据</t>
  </si>
  <si>
    <t>智能I0</t>
  </si>
  <si>
    <t>决策D0</t>
  </si>
  <si>
    <t>偏差E0</t>
  </si>
  <si>
    <t>上界D0+</t>
  </si>
  <si>
    <t>下界D0-</t>
  </si>
  <si>
    <t>智能I1</t>
  </si>
  <si>
    <t>决策D1</t>
  </si>
  <si>
    <t>偏差E1</t>
  </si>
  <si>
    <t>上界D1+</t>
  </si>
  <si>
    <t>下界D1-</t>
  </si>
  <si>
    <t>智能I2</t>
  </si>
  <si>
    <t>决策D2</t>
  </si>
  <si>
    <t>偏差E2</t>
  </si>
  <si>
    <t>上界D2+</t>
  </si>
  <si>
    <t>下界D2-</t>
  </si>
  <si>
    <t>智能I3</t>
  </si>
  <si>
    <t>决策D3</t>
  </si>
  <si>
    <t>偏差E3</t>
  </si>
  <si>
    <t>上界D3+</t>
  </si>
  <si>
    <t>下界D3-</t>
  </si>
  <si>
    <t>智能I4</t>
  </si>
  <si>
    <t>决策D4</t>
  </si>
  <si>
    <t>偏差E4</t>
  </si>
  <si>
    <t>QUE2: What was the percent change in the number of lifetime asthma cases in the US from 2003 to 2010?
问题2：从 2003 年到 2010 年，美国哮喘终生病例数的百分比变化是多少？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</si>
</sst>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9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4"/>
      <color rgb="FF7030A0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4"/>
      <color theme="0"/>
      <name val="等线"/>
      <charset val="134"/>
      <scheme val="minor"/>
    </font>
    <font>
      <b/>
      <sz val="16"/>
      <color rgb="FF00B05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  <xf numFmtId="176" fontId="3" fillId="0" borderId="1" xfId="0" applyNumberFormat="1" applyFont="1" applyBorder="1"/>
    <xf numFmtId="0" fontId="2" fillId="0" borderId="1" xfId="0" applyFont="1" applyFill="1" applyBorder="1" applyAlignment="1">
      <alignment horizontal="center" vertical="center" wrapText="1"/>
    </xf>
    <xf numFmtId="177" fontId="0" fillId="3" borderId="1" xfId="0" applyNumberFormat="1" applyFill="1" applyBorder="1" applyAlignment="1">
      <alignment horizontal="center" vertical="center"/>
    </xf>
    <xf numFmtId="176" fontId="5" fillId="0" borderId="1" xfId="0" applyNumberFormat="1" applyFont="1" applyBorder="1"/>
    <xf numFmtId="176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/>
    <xf numFmtId="0" fontId="2" fillId="0" borderId="0" xfId="0" applyFont="1" applyFill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Fill="1"/>
    <xf numFmtId="0" fontId="0" fillId="0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85" zoomScaleNormal="85" workbookViewId="0">
      <selection activeCell="A22" sqref="A22"/>
    </sheetView>
  </sheetViews>
  <sheetFormatPr defaultColWidth="9" defaultRowHeight="13.85"/>
  <cols>
    <col min="1" max="1" width="9" style="42"/>
    <col min="2" max="5" width="6.3716814159292" style="43" customWidth="1"/>
    <col min="6" max="6" width="7.3716814159292" style="43" customWidth="1"/>
    <col min="7" max="7" width="6.3716814159292" style="43" customWidth="1"/>
    <col min="8" max="11" width="7.3716814159292" style="43" customWidth="1"/>
    <col min="12" max="12" width="11.1327433628319" style="34" customWidth="1"/>
  </cols>
  <sheetData>
    <row r="1" spans="1:11">
      <c r="B1" s="43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3" t="s">
        <v>9</v>
      </c>
    </row>
    <row r="2" spans="1:11">
      <c r="A2" s="42" t="s">
        <v>10</v>
      </c>
      <c r="B2" s="43">
        <v>8.198</v>
      </c>
      <c r="C2" s="43">
        <v>23.72</v>
      </c>
      <c r="D2" s="43">
        <v>1744</v>
      </c>
      <c r="E2" s="43">
        <v>31.24</v>
      </c>
      <c r="F2" s="43">
        <v>1.248</v>
      </c>
      <c r="G2" s="43">
        <v>249.6</v>
      </c>
      <c r="H2" s="43">
        <v>2.496</v>
      </c>
      <c r="I2" s="43">
        <v>22480</v>
      </c>
      <c r="J2" s="43">
        <v>12.5</v>
      </c>
      <c r="K2" s="43">
        <v>1.225</v>
      </c>
    </row>
    <row r="3" spans="1:11">
      <c r="A3" s="42" t="s">
        <v>11</v>
      </c>
      <c r="B3" s="43">
        <v>33.59</v>
      </c>
      <c r="C3" s="43">
        <v>21.72</v>
      </c>
      <c r="D3" s="43">
        <v>335.9</v>
      </c>
      <c r="E3" s="43">
        <v>53.44</v>
      </c>
      <c r="F3" s="43">
        <v>8.687</v>
      </c>
      <c r="G3" s="43">
        <v>334.4</v>
      </c>
      <c r="H3" s="43">
        <v>33.44</v>
      </c>
      <c r="I3" s="43">
        <v>8687</v>
      </c>
      <c r="J3" s="43">
        <v>43.44</v>
      </c>
      <c r="K3" s="43">
        <v>1.836</v>
      </c>
    </row>
    <row r="4" spans="1:11">
      <c r="A4" s="42" t="s">
        <v>12</v>
      </c>
      <c r="B4" s="43">
        <v>2.968</v>
      </c>
      <c r="C4" s="43">
        <v>9.968</v>
      </c>
      <c r="D4" s="43">
        <v>119</v>
      </c>
      <c r="E4" s="43">
        <v>4.936</v>
      </c>
      <c r="F4" s="43">
        <v>2.968</v>
      </c>
      <c r="G4" s="43">
        <v>296.8</v>
      </c>
      <c r="H4" s="43">
        <v>4.968</v>
      </c>
      <c r="I4" s="43">
        <v>149.4</v>
      </c>
      <c r="J4" s="43">
        <v>2.968</v>
      </c>
      <c r="K4" s="43">
        <v>1.984</v>
      </c>
    </row>
    <row r="5" spans="1:11">
      <c r="A5" s="42" t="s">
        <v>13</v>
      </c>
      <c r="B5" s="43">
        <v>1.983</v>
      </c>
      <c r="C5" s="43">
        <v>2.949</v>
      </c>
      <c r="D5" s="43">
        <v>49.15</v>
      </c>
      <c r="E5" s="43">
        <v>14.9</v>
      </c>
      <c r="F5" s="43">
        <v>4.898</v>
      </c>
      <c r="G5" s="43">
        <v>89.32</v>
      </c>
      <c r="H5" s="43">
        <v>4.898</v>
      </c>
      <c r="I5" s="43">
        <v>248300</v>
      </c>
      <c r="J5" s="43">
        <v>0.4915</v>
      </c>
      <c r="K5" s="43">
        <v>1.242</v>
      </c>
    </row>
    <row r="6" spans="1:11">
      <c r="A6" s="42" t="s">
        <v>14</v>
      </c>
      <c r="B6" s="43">
        <v>6.516</v>
      </c>
      <c r="C6" s="43">
        <v>130.3</v>
      </c>
      <c r="D6" s="43">
        <v>1955</v>
      </c>
      <c r="E6" s="43">
        <v>26.29</v>
      </c>
      <c r="F6" s="43">
        <v>6.29</v>
      </c>
      <c r="G6" s="43">
        <v>106.5</v>
      </c>
      <c r="H6" s="43">
        <v>10.65</v>
      </c>
      <c r="I6" s="43">
        <v>16940</v>
      </c>
      <c r="J6" s="43">
        <v>22.58</v>
      </c>
      <c r="K6" s="43">
        <v>1.352</v>
      </c>
    </row>
    <row r="7" spans="1:11">
      <c r="A7" s="42" t="s">
        <v>15</v>
      </c>
      <c r="B7" s="43">
        <v>8.182</v>
      </c>
      <c r="C7" s="43">
        <v>25.99</v>
      </c>
      <c r="D7" s="43">
        <v>21970</v>
      </c>
      <c r="E7" s="43">
        <v>26.5</v>
      </c>
      <c r="F7" s="43">
        <v>2.197</v>
      </c>
      <c r="G7" s="43">
        <v>50.95</v>
      </c>
      <c r="H7" s="43">
        <v>11.5</v>
      </c>
      <c r="I7" s="43">
        <v>219700</v>
      </c>
      <c r="J7" s="43">
        <v>18.47</v>
      </c>
      <c r="K7" s="43">
        <v>1.439</v>
      </c>
    </row>
    <row r="8" spans="1:11">
      <c r="A8" s="42" t="s">
        <v>16</v>
      </c>
      <c r="B8" s="43">
        <v>7.104</v>
      </c>
      <c r="C8" s="43">
        <v>5.042</v>
      </c>
      <c r="D8" s="43">
        <v>511.5</v>
      </c>
      <c r="E8" s="43">
        <v>31.04</v>
      </c>
      <c r="F8" s="43">
        <v>5.208</v>
      </c>
      <c r="G8" s="43">
        <v>31.04</v>
      </c>
      <c r="H8" s="43">
        <v>15.62</v>
      </c>
      <c r="I8" s="43">
        <v>2104</v>
      </c>
      <c r="J8" s="43">
        <v>2.042</v>
      </c>
      <c r="K8" s="43">
        <v>1.521</v>
      </c>
    </row>
    <row r="9" spans="1:11">
      <c r="A9" s="42" t="s">
        <v>17</v>
      </c>
      <c r="B9" s="43">
        <v>6.457</v>
      </c>
      <c r="C9" s="43">
        <v>48.19</v>
      </c>
      <c r="D9" s="43">
        <v>627.6</v>
      </c>
      <c r="E9" s="43">
        <v>42.28</v>
      </c>
      <c r="F9" s="43">
        <v>5.638</v>
      </c>
      <c r="G9" s="43">
        <v>92.76</v>
      </c>
      <c r="H9" s="43">
        <v>4.638</v>
      </c>
      <c r="I9" s="43">
        <v>18190</v>
      </c>
      <c r="J9" s="43">
        <v>9.095</v>
      </c>
      <c r="K9" s="43">
        <v>0.9729</v>
      </c>
    </row>
    <row r="10" spans="1:11">
      <c r="A10" s="42" t="s">
        <v>18</v>
      </c>
      <c r="B10" s="43">
        <v>9.481</v>
      </c>
      <c r="C10" s="43">
        <v>4.585</v>
      </c>
      <c r="D10" s="43">
        <v>1948</v>
      </c>
      <c r="E10" s="43">
        <v>24.48</v>
      </c>
      <c r="F10" s="43">
        <v>0.9792</v>
      </c>
      <c r="G10" s="43">
        <v>37.92</v>
      </c>
      <c r="H10" s="43">
        <v>4.688</v>
      </c>
      <c r="I10" s="43">
        <v>28960</v>
      </c>
      <c r="J10" s="43">
        <v>184.4</v>
      </c>
      <c r="K10" s="43">
        <v>1.269</v>
      </c>
    </row>
    <row r="11" spans="1:11">
      <c r="A11" s="42" t="s">
        <v>19</v>
      </c>
      <c r="B11" s="43">
        <v>1.492</v>
      </c>
      <c r="C11" s="43">
        <v>17.9</v>
      </c>
      <c r="D11" s="43">
        <v>490.4</v>
      </c>
      <c r="E11" s="43">
        <v>24.9</v>
      </c>
      <c r="F11" s="43">
        <v>2.484</v>
      </c>
      <c r="G11" s="43">
        <v>249.2</v>
      </c>
      <c r="H11" s="43">
        <v>1.492</v>
      </c>
      <c r="I11" s="43">
        <v>11970</v>
      </c>
      <c r="J11" s="43">
        <v>2.968</v>
      </c>
      <c r="K11" s="43">
        <v>1.492</v>
      </c>
    </row>
    <row r="12" spans="1:11">
      <c r="A12" s="42" t="s">
        <v>20</v>
      </c>
      <c r="B12" s="43">
        <v>2.575</v>
      </c>
      <c r="C12" s="43">
        <v>25.75</v>
      </c>
      <c r="D12" s="43">
        <v>2862</v>
      </c>
      <c r="E12" s="43">
        <v>47.87</v>
      </c>
      <c r="F12" s="43">
        <v>2.862</v>
      </c>
      <c r="G12" s="43">
        <v>128.7</v>
      </c>
      <c r="H12" s="43">
        <v>10.01</v>
      </c>
      <c r="I12" s="43">
        <v>21490</v>
      </c>
      <c r="J12" s="43">
        <v>8.575</v>
      </c>
      <c r="K12" s="43">
        <v>1.315</v>
      </c>
    </row>
    <row r="13" spans="1:11">
      <c r="A13" s="42" t="s">
        <v>21</v>
      </c>
      <c r="B13" s="43">
        <v>2.551</v>
      </c>
      <c r="C13" s="43">
        <v>5.551</v>
      </c>
      <c r="D13" s="43">
        <v>3427</v>
      </c>
      <c r="E13" s="43">
        <v>28.85</v>
      </c>
      <c r="F13" s="43">
        <v>11.1</v>
      </c>
      <c r="G13" s="43">
        <v>53.26</v>
      </c>
      <c r="H13" s="43">
        <v>1.275</v>
      </c>
      <c r="I13" s="43">
        <v>45510</v>
      </c>
      <c r="J13" s="43">
        <v>7.753</v>
      </c>
      <c r="K13" s="43">
        <v>1.069</v>
      </c>
    </row>
    <row r="14" spans="1:11">
      <c r="A14" s="42" t="s">
        <v>22</v>
      </c>
      <c r="B14" s="43">
        <v>4.571</v>
      </c>
      <c r="C14" s="43">
        <v>12.13</v>
      </c>
      <c r="D14" s="43">
        <v>476</v>
      </c>
      <c r="E14" s="43">
        <v>66.52</v>
      </c>
      <c r="F14" s="43">
        <v>1.443</v>
      </c>
      <c r="G14" s="43">
        <v>165.2</v>
      </c>
      <c r="H14" s="43">
        <v>8.52</v>
      </c>
      <c r="I14" s="43">
        <v>3760</v>
      </c>
      <c r="J14" s="43">
        <v>58.24</v>
      </c>
      <c r="K14" s="43">
        <v>1.152</v>
      </c>
    </row>
    <row r="15" spans="1:11">
      <c r="A15" s="42" t="s">
        <v>23</v>
      </c>
      <c r="B15" s="43">
        <v>8.253</v>
      </c>
      <c r="C15" s="43">
        <v>2.127</v>
      </c>
      <c r="D15" s="43">
        <v>2627</v>
      </c>
      <c r="E15" s="43">
        <v>25.25</v>
      </c>
      <c r="F15" s="43">
        <v>0.8799</v>
      </c>
      <c r="G15" s="43">
        <v>350.1</v>
      </c>
      <c r="H15" s="43">
        <v>0.6507</v>
      </c>
      <c r="I15" s="43">
        <v>25520</v>
      </c>
      <c r="J15" s="43">
        <v>2.253</v>
      </c>
      <c r="K15" s="43">
        <v>1.103</v>
      </c>
    </row>
    <row r="16" spans="1:11">
      <c r="A16" s="42" t="s">
        <v>24</v>
      </c>
      <c r="B16" s="43">
        <v>5.534</v>
      </c>
      <c r="C16" s="43">
        <v>16.07</v>
      </c>
      <c r="D16" s="43">
        <v>933.6</v>
      </c>
      <c r="E16" s="43">
        <v>41.07</v>
      </c>
      <c r="F16" s="43">
        <v>3.37</v>
      </c>
      <c r="G16" s="43">
        <v>141.4</v>
      </c>
      <c r="H16" s="43">
        <v>1.534</v>
      </c>
      <c r="I16" s="43">
        <v>16600</v>
      </c>
      <c r="J16" s="43">
        <v>7.137</v>
      </c>
      <c r="K16" s="43">
        <v>1.407</v>
      </c>
    </row>
    <row r="17" spans="1:12">
      <c r="A17" s="42" t="s">
        <v>25</v>
      </c>
      <c r="B17" s="43">
        <v>9.493</v>
      </c>
      <c r="C17" s="43">
        <v>38.99</v>
      </c>
      <c r="D17" s="43">
        <v>544.9</v>
      </c>
      <c r="E17" s="43">
        <v>17.7</v>
      </c>
      <c r="F17" s="43">
        <v>1.899</v>
      </c>
      <c r="G17" s="43">
        <v>389.9</v>
      </c>
      <c r="H17" s="43">
        <v>2.899</v>
      </c>
      <c r="I17" s="43">
        <v>8138</v>
      </c>
      <c r="J17" s="43">
        <v>144.9</v>
      </c>
      <c r="K17" s="43">
        <v>1.77</v>
      </c>
    </row>
    <row r="18" spans="1:12">
      <c r="A18" s="42" t="s">
        <v>26</v>
      </c>
      <c r="B18" s="43">
        <v>4.79</v>
      </c>
      <c r="C18" s="43">
        <v>28.95</v>
      </c>
      <c r="D18" s="43">
        <v>965.1</v>
      </c>
      <c r="E18" s="43">
        <v>48.6</v>
      </c>
      <c r="F18" s="43">
        <v>9.651</v>
      </c>
      <c r="G18" s="43">
        <v>98.25</v>
      </c>
      <c r="H18" s="43">
        <v>4.86</v>
      </c>
      <c r="I18" s="43">
        <v>98250</v>
      </c>
      <c r="J18" s="43">
        <v>19.3</v>
      </c>
      <c r="K18" s="43">
        <v>1.293</v>
      </c>
    </row>
    <row r="19" spans="1:12">
      <c r="A19" s="42" t="s">
        <v>27</v>
      </c>
      <c r="B19" s="43">
        <v>8.666</v>
      </c>
      <c r="C19" s="43">
        <v>10.83</v>
      </c>
      <c r="D19" s="43">
        <v>733.3</v>
      </c>
      <c r="E19" s="43">
        <v>40.83</v>
      </c>
      <c r="F19" s="43">
        <v>0.5333</v>
      </c>
      <c r="G19" s="43">
        <v>68.33</v>
      </c>
      <c r="H19" s="43">
        <v>25.83</v>
      </c>
      <c r="I19" s="43">
        <v>2583</v>
      </c>
      <c r="J19" s="43">
        <v>0.7166</v>
      </c>
      <c r="K19" s="43">
        <v>0.7083</v>
      </c>
    </row>
    <row r="20" spans="1:12">
      <c r="A20" s="42" t="s">
        <v>28</v>
      </c>
      <c r="B20" s="43">
        <v>5.258</v>
      </c>
      <c r="C20" s="43">
        <v>21.94</v>
      </c>
      <c r="D20" s="43">
        <v>1277</v>
      </c>
      <c r="E20" s="43">
        <v>61.29</v>
      </c>
      <c r="F20" s="43">
        <v>6.129</v>
      </c>
      <c r="G20" s="43">
        <v>212.9</v>
      </c>
      <c r="H20" s="43">
        <v>11.29</v>
      </c>
      <c r="I20" s="43">
        <v>13030</v>
      </c>
      <c r="J20" s="43">
        <v>15.65</v>
      </c>
      <c r="K20" s="43">
        <v>1.013</v>
      </c>
    </row>
    <row r="21" spans="1:12">
      <c r="A21" s="42" t="s">
        <v>29</v>
      </c>
      <c r="B21" s="43">
        <v>4.76</v>
      </c>
      <c r="C21" s="43">
        <v>1.94</v>
      </c>
      <c r="D21" s="43">
        <v>485</v>
      </c>
      <c r="E21" s="43">
        <v>28.8</v>
      </c>
      <c r="F21" s="43">
        <v>2.88</v>
      </c>
      <c r="G21" s="43">
        <v>288</v>
      </c>
      <c r="H21" s="43">
        <v>18.8</v>
      </c>
      <c r="I21" s="43">
        <v>45200</v>
      </c>
      <c r="J21" s="43">
        <v>4.88</v>
      </c>
      <c r="K21" s="43">
        <v>2</v>
      </c>
      <c r="L21" s="35"/>
    </row>
    <row r="22" spans="1:12">
      <c r="A22" s="44"/>
      <c r="B22" s="45">
        <v>6.1</v>
      </c>
      <c r="C22" s="45">
        <v>31.65</v>
      </c>
      <c r="D22" s="45">
        <v>2631</v>
      </c>
      <c r="E22" s="45">
        <v>41.24</v>
      </c>
      <c r="F22" s="45">
        <v>1.53</v>
      </c>
      <c r="G22" s="45">
        <v>185</v>
      </c>
      <c r="H22" s="45">
        <v>0.333</v>
      </c>
      <c r="I22" s="45">
        <v>16350</v>
      </c>
      <c r="J22" s="45">
        <v>14.47</v>
      </c>
      <c r="K22" s="45">
        <v>1.23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32"/>
  <sheetViews>
    <sheetView zoomScale="85" zoomScaleNormal="85" topLeftCell="A3" workbookViewId="0">
      <pane ySplit="1" topLeftCell="A4" activePane="bottomLeft" state="frozen"/>
      <selection/>
      <selection pane="bottomLeft" activeCell="AC7" sqref="AC7"/>
    </sheetView>
  </sheetViews>
  <sheetFormatPr defaultColWidth="9" defaultRowHeight="13.85"/>
  <cols>
    <col min="1" max="1" width="4.83185840707965" customWidth="1"/>
    <col min="2" max="2" width="9.13274336283186" style="34"/>
    <col min="3" max="3" width="37.1769911504425" style="34" customWidth="1"/>
    <col min="4" max="6" width="7.84070796460177" style="34" customWidth="1"/>
    <col min="7" max="7" width="7.90265486725664" style="34" customWidth="1"/>
    <col min="8" max="8" width="7.84070796460177" style="34" customWidth="1"/>
    <col min="9" max="9" width="7.90265486725664" style="34" customWidth="1"/>
    <col min="10" max="11" width="6.84070796460177" style="34" customWidth="1"/>
    <col min="12" max="14" width="7.84070796460177" style="34" customWidth="1"/>
    <col min="15" max="15" width="6.84070796460177" style="34" customWidth="1"/>
    <col min="16" max="19" width="7.84070796460177" style="34" customWidth="1"/>
    <col min="20" max="21" width="6.84070796460177" style="34" customWidth="1"/>
    <col min="22" max="23" width="7.84070796460177" style="34" customWidth="1"/>
    <col min="24" max="24" width="11.2477876106195" style="34" customWidth="1"/>
  </cols>
  <sheetData>
    <row r="2" spans="2:24">
      <c r="D2" s="35"/>
      <c r="F2" s="35"/>
      <c r="H2" s="35"/>
      <c r="J2" s="35"/>
      <c r="L2" s="35"/>
      <c r="N2" s="35"/>
      <c r="P2" s="35"/>
      <c r="R2" s="35"/>
      <c r="W2" s="35"/>
      <c r="X2" s="35"/>
    </row>
    <row r="3" s="8" customFormat="1" ht="22" customHeight="1" spans="2:24">
      <c r="B3" s="36" t="s">
        <v>30</v>
      </c>
      <c r="C3" s="36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7" t="s">
        <v>36</v>
      </c>
      <c r="I3" s="37" t="s">
        <v>37</v>
      </c>
      <c r="J3" s="37" t="s">
        <v>38</v>
      </c>
      <c r="K3" s="37" t="s">
        <v>39</v>
      </c>
      <c r="L3" s="37" t="s">
        <v>40</v>
      </c>
      <c r="M3" s="37" t="s">
        <v>41</v>
      </c>
      <c r="N3" s="37" t="s">
        <v>42</v>
      </c>
      <c r="O3" s="37" t="s">
        <v>43</v>
      </c>
      <c r="P3" s="37" t="s">
        <v>44</v>
      </c>
      <c r="Q3" s="37" t="s">
        <v>45</v>
      </c>
      <c r="R3" s="37" t="s">
        <v>46</v>
      </c>
      <c r="S3" s="37" t="s">
        <v>47</v>
      </c>
      <c r="T3" s="37" t="s">
        <v>48</v>
      </c>
      <c r="U3" s="37" t="s">
        <v>49</v>
      </c>
      <c r="V3" s="37" t="s">
        <v>50</v>
      </c>
      <c r="W3" s="37" t="s">
        <v>51</v>
      </c>
      <c r="X3" s="37" t="s">
        <v>52</v>
      </c>
    </row>
    <row r="4" s="8" customFormat="1" ht="55.5" spans="2:24">
      <c r="B4" s="37" t="s">
        <v>0</v>
      </c>
      <c r="C4" s="38" t="s">
        <v>53</v>
      </c>
      <c r="D4" s="39">
        <v>8.198</v>
      </c>
      <c r="E4" s="39">
        <v>33.59</v>
      </c>
      <c r="F4" s="39">
        <v>2.968</v>
      </c>
      <c r="G4" s="39">
        <v>1.983</v>
      </c>
      <c r="H4" s="39">
        <v>6.516</v>
      </c>
      <c r="I4" s="39">
        <v>8.182</v>
      </c>
      <c r="J4" s="39">
        <v>7.104</v>
      </c>
      <c r="K4" s="39">
        <v>6.457</v>
      </c>
      <c r="L4" s="39">
        <v>9.481</v>
      </c>
      <c r="M4" s="39">
        <v>1.492</v>
      </c>
      <c r="N4" s="39">
        <v>2.575</v>
      </c>
      <c r="O4" s="39">
        <v>2.551</v>
      </c>
      <c r="P4" s="39">
        <v>4.571</v>
      </c>
      <c r="Q4" s="39">
        <v>8.253</v>
      </c>
      <c r="R4" s="39">
        <v>5.534</v>
      </c>
      <c r="S4" s="39">
        <v>9.493</v>
      </c>
      <c r="T4" s="39">
        <v>4.79</v>
      </c>
      <c r="U4" s="39">
        <v>8.666</v>
      </c>
      <c r="V4" s="39">
        <v>5.258</v>
      </c>
      <c r="W4" s="39">
        <v>4.76</v>
      </c>
      <c r="X4" s="39">
        <v>6.1</v>
      </c>
    </row>
    <row r="5" s="8" customFormat="1" ht="69.4" spans="2:24">
      <c r="B5" s="37" t="s">
        <v>1</v>
      </c>
      <c r="C5" s="38" t="s">
        <v>54</v>
      </c>
      <c r="D5" s="39">
        <v>23.72</v>
      </c>
      <c r="E5" s="39">
        <v>21.72</v>
      </c>
      <c r="F5" s="39">
        <v>9.968</v>
      </c>
      <c r="G5" s="39">
        <v>2.949</v>
      </c>
      <c r="H5" s="39">
        <v>130.3</v>
      </c>
      <c r="I5" s="39">
        <v>25.99</v>
      </c>
      <c r="J5" s="39">
        <v>5.042</v>
      </c>
      <c r="K5" s="39">
        <v>48.19</v>
      </c>
      <c r="L5" s="39">
        <v>4.585</v>
      </c>
      <c r="M5" s="39">
        <v>17.9</v>
      </c>
      <c r="N5" s="39">
        <v>25.75</v>
      </c>
      <c r="O5" s="39">
        <v>5.551</v>
      </c>
      <c r="P5" s="39">
        <v>12.13</v>
      </c>
      <c r="Q5" s="39">
        <v>2.127</v>
      </c>
      <c r="R5" s="39">
        <v>16.07</v>
      </c>
      <c r="S5" s="39">
        <v>38.99</v>
      </c>
      <c r="T5" s="39">
        <v>28.95</v>
      </c>
      <c r="U5" s="39">
        <v>10.83</v>
      </c>
      <c r="V5" s="39">
        <v>21.94</v>
      </c>
      <c r="W5" s="39">
        <v>1.94</v>
      </c>
      <c r="X5" s="39">
        <v>31.65</v>
      </c>
    </row>
    <row r="6" s="8" customFormat="1" ht="83.25" spans="2:24">
      <c r="B6" s="37" t="s">
        <v>2</v>
      </c>
      <c r="C6" s="38" t="s">
        <v>55</v>
      </c>
      <c r="D6" s="40">
        <v>1744</v>
      </c>
      <c r="E6" s="40">
        <v>335.9</v>
      </c>
      <c r="F6" s="40">
        <v>119</v>
      </c>
      <c r="G6" s="40">
        <v>49.15</v>
      </c>
      <c r="H6" s="40">
        <v>1955</v>
      </c>
      <c r="I6" s="40">
        <v>21970</v>
      </c>
      <c r="J6" s="40">
        <v>511.5</v>
      </c>
      <c r="K6" s="40">
        <v>627.6</v>
      </c>
      <c r="L6" s="40">
        <v>1948</v>
      </c>
      <c r="M6" s="40">
        <v>490.4</v>
      </c>
      <c r="N6" s="40">
        <v>2862</v>
      </c>
      <c r="O6" s="40">
        <v>3427</v>
      </c>
      <c r="P6" s="40">
        <v>476</v>
      </c>
      <c r="Q6" s="40">
        <v>2627</v>
      </c>
      <c r="R6" s="40">
        <v>933.6</v>
      </c>
      <c r="S6" s="40">
        <v>544.9</v>
      </c>
      <c r="T6" s="40">
        <v>965.1</v>
      </c>
      <c r="U6" s="40">
        <v>733.3</v>
      </c>
      <c r="V6" s="40">
        <v>1277</v>
      </c>
      <c r="W6" s="40">
        <v>485</v>
      </c>
      <c r="X6" s="40">
        <v>2631</v>
      </c>
    </row>
    <row r="7" s="8" customFormat="1" ht="55.5" spans="2:24">
      <c r="B7" s="37" t="s">
        <v>3</v>
      </c>
      <c r="C7" s="38" t="s">
        <v>56</v>
      </c>
      <c r="D7" s="39">
        <v>31.24</v>
      </c>
      <c r="E7" s="39">
        <v>53.44</v>
      </c>
      <c r="F7" s="39">
        <v>4.936</v>
      </c>
      <c r="G7" s="39">
        <v>14.9</v>
      </c>
      <c r="H7" s="39">
        <v>26.29</v>
      </c>
      <c r="I7" s="39">
        <v>26.5</v>
      </c>
      <c r="J7" s="39">
        <v>31.04</v>
      </c>
      <c r="K7" s="39">
        <v>42.28</v>
      </c>
      <c r="L7" s="39">
        <v>24.48</v>
      </c>
      <c r="M7" s="39">
        <v>24.9</v>
      </c>
      <c r="N7" s="39">
        <v>47.87</v>
      </c>
      <c r="O7" s="39">
        <v>28.85</v>
      </c>
      <c r="P7" s="39">
        <v>66.52</v>
      </c>
      <c r="Q7" s="39">
        <v>25.25</v>
      </c>
      <c r="R7" s="39">
        <v>41.07</v>
      </c>
      <c r="S7" s="39">
        <v>17.7</v>
      </c>
      <c r="T7" s="39">
        <v>48.6</v>
      </c>
      <c r="U7" s="39">
        <v>40.83</v>
      </c>
      <c r="V7" s="39">
        <v>61.29</v>
      </c>
      <c r="W7" s="39">
        <v>28.8</v>
      </c>
      <c r="X7" s="39">
        <v>41.24</v>
      </c>
    </row>
    <row r="8" s="8" customFormat="1" ht="83.25" spans="2:24">
      <c r="B8" s="37" t="s">
        <v>4</v>
      </c>
      <c r="C8" s="38" t="s">
        <v>57</v>
      </c>
      <c r="D8" s="39">
        <v>1.248</v>
      </c>
      <c r="E8" s="39">
        <v>8.687</v>
      </c>
      <c r="F8" s="39">
        <v>2.968</v>
      </c>
      <c r="G8" s="39">
        <v>4.898</v>
      </c>
      <c r="H8" s="39">
        <v>6.29</v>
      </c>
      <c r="I8" s="39">
        <v>2.197</v>
      </c>
      <c r="J8" s="39">
        <v>5.208</v>
      </c>
      <c r="K8" s="39">
        <v>5.638</v>
      </c>
      <c r="L8" s="39">
        <v>0.9792</v>
      </c>
      <c r="M8" s="39">
        <v>2.484</v>
      </c>
      <c r="N8" s="39">
        <v>2.862</v>
      </c>
      <c r="O8" s="39">
        <v>11.1</v>
      </c>
      <c r="P8" s="39">
        <v>1.443</v>
      </c>
      <c r="Q8" s="39">
        <v>0.8799</v>
      </c>
      <c r="R8" s="39">
        <v>3.37</v>
      </c>
      <c r="S8" s="39">
        <v>1.899</v>
      </c>
      <c r="T8" s="39">
        <v>9.651</v>
      </c>
      <c r="U8" s="39">
        <v>0.5333</v>
      </c>
      <c r="V8" s="39">
        <v>6.129</v>
      </c>
      <c r="W8" s="39">
        <v>2.88</v>
      </c>
      <c r="X8" s="39">
        <v>1.53</v>
      </c>
    </row>
    <row r="9" s="8" customFormat="1" ht="83.25" spans="2:24">
      <c r="B9" s="37" t="s">
        <v>5</v>
      </c>
      <c r="C9" s="38" t="s">
        <v>58</v>
      </c>
      <c r="D9" s="39">
        <v>249.6</v>
      </c>
      <c r="E9" s="39">
        <v>334.4</v>
      </c>
      <c r="F9" s="39">
        <v>296.8</v>
      </c>
      <c r="G9" s="39">
        <v>89.32</v>
      </c>
      <c r="H9" s="39">
        <v>106.5</v>
      </c>
      <c r="I9" s="39">
        <v>50.95</v>
      </c>
      <c r="J9" s="39">
        <v>31.04</v>
      </c>
      <c r="K9" s="39">
        <v>92.76</v>
      </c>
      <c r="L9" s="39">
        <v>37.92</v>
      </c>
      <c r="M9" s="39">
        <v>249.2</v>
      </c>
      <c r="N9" s="39">
        <v>128.7</v>
      </c>
      <c r="O9" s="39">
        <v>53.26</v>
      </c>
      <c r="P9" s="39">
        <v>165.2</v>
      </c>
      <c r="Q9" s="39">
        <v>350.1</v>
      </c>
      <c r="R9" s="39">
        <v>141.4</v>
      </c>
      <c r="S9" s="39">
        <v>389.9</v>
      </c>
      <c r="T9" s="39">
        <v>98.25</v>
      </c>
      <c r="U9" s="39">
        <v>68.33</v>
      </c>
      <c r="V9" s="39">
        <v>212.9</v>
      </c>
      <c r="W9" s="39">
        <v>288</v>
      </c>
      <c r="X9" s="39">
        <v>185</v>
      </c>
    </row>
    <row r="10" s="8" customFormat="1" ht="69.4" spans="2:24">
      <c r="B10" s="37" t="s">
        <v>6</v>
      </c>
      <c r="C10" s="38" t="s">
        <v>59</v>
      </c>
      <c r="D10" s="39">
        <v>2.496</v>
      </c>
      <c r="E10" s="39">
        <v>33.44</v>
      </c>
      <c r="F10" s="39">
        <v>4.968</v>
      </c>
      <c r="G10" s="39">
        <v>4.898</v>
      </c>
      <c r="H10" s="39">
        <v>10.65</v>
      </c>
      <c r="I10" s="39">
        <v>11.5</v>
      </c>
      <c r="J10" s="39">
        <v>15.62</v>
      </c>
      <c r="K10" s="39">
        <v>4.638</v>
      </c>
      <c r="L10" s="39">
        <v>4.688</v>
      </c>
      <c r="M10" s="39">
        <v>1.492</v>
      </c>
      <c r="N10" s="39">
        <v>10.01</v>
      </c>
      <c r="O10" s="39">
        <v>1.275</v>
      </c>
      <c r="P10" s="39">
        <v>8.52</v>
      </c>
      <c r="Q10" s="39">
        <v>0.6507</v>
      </c>
      <c r="R10" s="39">
        <v>1.534</v>
      </c>
      <c r="S10" s="39">
        <v>2.899</v>
      </c>
      <c r="T10" s="39">
        <v>4.86</v>
      </c>
      <c r="U10" s="39">
        <v>25.83</v>
      </c>
      <c r="V10" s="39">
        <v>11.29</v>
      </c>
      <c r="W10" s="39">
        <v>18.8</v>
      </c>
      <c r="X10" s="39">
        <v>0.333</v>
      </c>
    </row>
    <row r="11" s="8" customFormat="1" ht="55.5" spans="2:24">
      <c r="B11" s="37" t="s">
        <v>7</v>
      </c>
      <c r="C11" s="38" t="s">
        <v>60</v>
      </c>
      <c r="D11" s="40">
        <v>22480</v>
      </c>
      <c r="E11" s="40">
        <v>8687</v>
      </c>
      <c r="F11" s="40">
        <v>149.4</v>
      </c>
      <c r="G11" s="40">
        <v>248300</v>
      </c>
      <c r="H11" s="40">
        <v>16940</v>
      </c>
      <c r="I11" s="40">
        <v>219700</v>
      </c>
      <c r="J11" s="40">
        <v>2104</v>
      </c>
      <c r="K11" s="40">
        <v>18190</v>
      </c>
      <c r="L11" s="40">
        <v>28960</v>
      </c>
      <c r="M11" s="40">
        <v>11970</v>
      </c>
      <c r="N11" s="40">
        <v>21490</v>
      </c>
      <c r="O11" s="40">
        <v>45510</v>
      </c>
      <c r="P11" s="40">
        <v>3760</v>
      </c>
      <c r="Q11" s="40">
        <v>25520</v>
      </c>
      <c r="R11" s="40">
        <v>16600</v>
      </c>
      <c r="S11" s="40">
        <v>8138</v>
      </c>
      <c r="T11" s="40">
        <v>98250</v>
      </c>
      <c r="U11" s="40">
        <v>2583</v>
      </c>
      <c r="V11" s="40">
        <v>13030</v>
      </c>
      <c r="W11" s="40">
        <v>45200</v>
      </c>
      <c r="X11" s="40">
        <v>16350</v>
      </c>
    </row>
    <row r="12" s="8" customFormat="1" ht="69.4" spans="2:24">
      <c r="B12" s="37" t="s">
        <v>8</v>
      </c>
      <c r="C12" s="38" t="s">
        <v>61</v>
      </c>
      <c r="D12" s="39">
        <v>12.5</v>
      </c>
      <c r="E12" s="39">
        <v>43.44</v>
      </c>
      <c r="F12" s="39">
        <v>2.968</v>
      </c>
      <c r="G12" s="39">
        <v>0.4915</v>
      </c>
      <c r="H12" s="39">
        <v>22.58</v>
      </c>
      <c r="I12" s="39">
        <v>18.47</v>
      </c>
      <c r="J12" s="39">
        <v>2.042</v>
      </c>
      <c r="K12" s="39">
        <v>9.095</v>
      </c>
      <c r="L12" s="39">
        <v>184.4</v>
      </c>
      <c r="M12" s="39">
        <v>2.968</v>
      </c>
      <c r="N12" s="39">
        <v>8.575</v>
      </c>
      <c r="O12" s="39">
        <v>7.753</v>
      </c>
      <c r="P12" s="39">
        <v>58.24</v>
      </c>
      <c r="Q12" s="39">
        <v>2.253</v>
      </c>
      <c r="R12" s="39">
        <v>7.137</v>
      </c>
      <c r="S12" s="39">
        <v>144.9</v>
      </c>
      <c r="T12" s="39">
        <v>19.3</v>
      </c>
      <c r="U12" s="39">
        <v>0.7166</v>
      </c>
      <c r="V12" s="39">
        <v>15.65</v>
      </c>
      <c r="W12" s="39">
        <v>4.88</v>
      </c>
      <c r="X12" s="39">
        <v>14.47</v>
      </c>
    </row>
    <row r="13" s="8" customFormat="1" ht="69.4" spans="2:24">
      <c r="B13" s="37" t="s">
        <v>9</v>
      </c>
      <c r="C13" s="38" t="s">
        <v>62</v>
      </c>
      <c r="D13" s="39">
        <v>1.225</v>
      </c>
      <c r="E13" s="39">
        <v>1.836</v>
      </c>
      <c r="F13" s="39">
        <v>1.984</v>
      </c>
      <c r="G13" s="39">
        <v>1.242</v>
      </c>
      <c r="H13" s="39">
        <v>1.352</v>
      </c>
      <c r="I13" s="39">
        <v>1.439</v>
      </c>
      <c r="J13" s="39">
        <v>1.521</v>
      </c>
      <c r="K13" s="39">
        <v>0.9729</v>
      </c>
      <c r="L13" s="39">
        <v>1.269</v>
      </c>
      <c r="M13" s="39">
        <v>1.492</v>
      </c>
      <c r="N13" s="39">
        <v>1.315</v>
      </c>
      <c r="O13" s="39">
        <v>1.069</v>
      </c>
      <c r="P13" s="39">
        <v>1.152</v>
      </c>
      <c r="Q13" s="39">
        <v>1.103</v>
      </c>
      <c r="R13" s="39">
        <v>1.407</v>
      </c>
      <c r="S13" s="39">
        <v>1.77</v>
      </c>
      <c r="T13" s="39">
        <v>1.293</v>
      </c>
      <c r="U13" s="39">
        <v>0.7083</v>
      </c>
      <c r="V13" s="39">
        <v>1.013</v>
      </c>
      <c r="W13" s="39">
        <v>2</v>
      </c>
      <c r="X13" s="39">
        <v>1.23</v>
      </c>
    </row>
    <row r="14" spans="2:24">
      <c r="D14" s="35"/>
      <c r="F14" s="35"/>
      <c r="H14" s="35"/>
      <c r="J14" s="35"/>
      <c r="L14" s="35"/>
      <c r="N14" s="35"/>
      <c r="P14" s="35"/>
      <c r="R14" s="35"/>
      <c r="W14" s="35"/>
      <c r="X14" s="35"/>
    </row>
    <row r="15" spans="2:24">
      <c r="D15" s="35"/>
      <c r="F15" s="35"/>
      <c r="H15" s="35"/>
      <c r="J15" s="35"/>
      <c r="L15" s="35"/>
      <c r="N15" s="35"/>
      <c r="P15" s="35"/>
      <c r="R15" s="35"/>
      <c r="W15" s="35"/>
      <c r="X15" s="35"/>
    </row>
    <row r="16" spans="2:24">
      <c r="D16" s="35"/>
      <c r="F16" s="35"/>
      <c r="H16" s="35"/>
      <c r="J16" s="35"/>
      <c r="L16" s="35"/>
      <c r="N16" s="35"/>
      <c r="P16" s="35"/>
      <c r="R16" s="35"/>
      <c r="W16" s="35"/>
      <c r="X16" s="35"/>
    </row>
    <row r="17" spans="1:24">
      <c r="D17" s="35"/>
      <c r="F17" s="35"/>
      <c r="H17" s="35"/>
      <c r="J17" s="35"/>
      <c r="L17" s="35"/>
      <c r="N17" s="35"/>
      <c r="P17" s="35"/>
      <c r="R17" s="35"/>
      <c r="W17" s="35"/>
      <c r="X17" s="35"/>
    </row>
    <row r="18" spans="1:24">
      <c r="D18" s="35"/>
      <c r="F18" s="35"/>
      <c r="H18" s="35"/>
      <c r="J18" s="35"/>
      <c r="L18" s="35"/>
      <c r="N18" s="35"/>
      <c r="P18" s="35"/>
      <c r="R18" s="35"/>
      <c r="W18" s="35"/>
      <c r="X18" s="35"/>
    </row>
    <row r="19" spans="1:24">
      <c r="D19" s="35"/>
      <c r="F19" s="35"/>
      <c r="H19" s="35"/>
      <c r="J19" s="35"/>
      <c r="L19" s="35"/>
      <c r="N19" s="35"/>
      <c r="P19" s="35"/>
      <c r="R19" s="35"/>
      <c r="W19" s="35"/>
      <c r="X19" s="35"/>
    </row>
    <row r="20" spans="1:24">
      <c r="D20" s="35"/>
      <c r="F20" s="35"/>
      <c r="H20" s="35"/>
      <c r="J20" s="35"/>
      <c r="L20" s="35"/>
      <c r="N20" s="35"/>
      <c r="P20" s="35"/>
      <c r="R20" s="35"/>
      <c r="W20" s="35"/>
      <c r="X20" s="35"/>
    </row>
    <row r="21" spans="1:24">
      <c r="D21" s="35"/>
      <c r="F21" s="35"/>
      <c r="H21" s="35"/>
      <c r="J21" s="35"/>
      <c r="L21" s="35"/>
    </row>
    <row r="23" spans="1:24">
      <c r="A23" s="41"/>
    </row>
    <row r="24" spans="1:24">
      <c r="A24" s="41"/>
    </row>
    <row r="25" spans="1:24">
      <c r="A25" s="41"/>
    </row>
    <row r="26" spans="1:24">
      <c r="A26" s="41"/>
    </row>
    <row r="27" spans="1:24">
      <c r="A27" s="41"/>
    </row>
    <row r="28" spans="1:24">
      <c r="A28" s="41"/>
    </row>
    <row r="29" spans="1:24">
      <c r="A29" s="41"/>
    </row>
    <row r="30" spans="1:24">
      <c r="A30" s="41"/>
    </row>
    <row r="31" spans="1:24">
      <c r="A31" s="41"/>
    </row>
    <row r="32" spans="1:24">
      <c r="A32" s="4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Y54"/>
  <sheetViews>
    <sheetView zoomScale="55" zoomScaleNormal="55" workbookViewId="0">
      <selection activeCell="AB7" sqref="AB7"/>
    </sheetView>
  </sheetViews>
  <sheetFormatPr defaultColWidth="9" defaultRowHeight="13.85"/>
  <cols>
    <col min="1" max="1" width="1.74336283185841" customWidth="1"/>
    <col min="2" max="2" width="6.55752212389381" customWidth="1"/>
    <col min="3" max="3" width="23.8053097345133" customWidth="1"/>
    <col min="4" max="4" width="6.99115044247788" style="8" customWidth="1"/>
    <col min="5" max="7" width="7.46017699115044" style="8" customWidth="1"/>
    <col min="8" max="8" width="6.99115044247788" style="8" customWidth="1"/>
    <col min="9" max="9" width="7.46017699115044" style="8" customWidth="1"/>
    <col min="10" max="10" width="6.99115044247788" style="8" customWidth="1"/>
    <col min="11" max="11" width="8.46017699115044" style="8" customWidth="1"/>
    <col min="12" max="12" width="6.99115044247788" style="8" customWidth="1"/>
    <col min="13" max="15" width="8.38938053097345" style="8" customWidth="1"/>
    <col min="16" max="16" width="12.646017699115" style="8" customWidth="1"/>
    <col min="17" max="23" width="8.38938053097345" style="8" customWidth="1"/>
    <col min="24" max="24" width="11" customWidth="1"/>
  </cols>
  <sheetData>
    <row r="3" ht="59" customHeight="1" spans="2:25">
      <c r="C3" s="1" t="s">
        <v>63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7.6" spans="2:25">
      <c r="B4" s="8"/>
      <c r="C4" s="3"/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25" t="s">
        <v>52</v>
      </c>
      <c r="Y4" s="6" t="s">
        <v>64</v>
      </c>
    </row>
    <row r="5" ht="40.5" spans="2:25">
      <c r="B5" s="26"/>
      <c r="C5" s="7" t="s">
        <v>65</v>
      </c>
      <c r="D5" s="27">
        <v>8.198</v>
      </c>
      <c r="E5" s="27">
        <v>33.59</v>
      </c>
      <c r="F5" s="27">
        <v>2.968</v>
      </c>
      <c r="G5" s="27">
        <v>1.983</v>
      </c>
      <c r="H5" s="27">
        <v>6.516</v>
      </c>
      <c r="I5" s="27">
        <v>8.182</v>
      </c>
      <c r="J5" s="27">
        <v>7.104</v>
      </c>
      <c r="K5" s="27">
        <v>6.457</v>
      </c>
      <c r="L5" s="27">
        <v>9.481</v>
      </c>
      <c r="M5" s="27">
        <v>1.492</v>
      </c>
      <c r="N5" s="27">
        <v>2.575</v>
      </c>
      <c r="O5" s="27">
        <v>2.551</v>
      </c>
      <c r="P5" s="27">
        <v>4.571</v>
      </c>
      <c r="Q5" s="27">
        <v>8.253</v>
      </c>
      <c r="R5" s="27">
        <v>5.534</v>
      </c>
      <c r="S5" s="27">
        <v>9.493</v>
      </c>
      <c r="T5" s="27">
        <v>4.79</v>
      </c>
      <c r="U5" s="27">
        <v>8.666</v>
      </c>
      <c r="V5" s="27">
        <v>5.258</v>
      </c>
      <c r="W5" s="27">
        <v>4.76</v>
      </c>
      <c r="X5" s="28">
        <v>6.1</v>
      </c>
      <c r="Y5" s="6">
        <f>AVERAGE(D5:W5)</f>
        <v>7.1211</v>
      </c>
    </row>
    <row r="6" ht="40.5" spans="2:25">
      <c r="B6" s="26"/>
      <c r="C6" s="7" t="s">
        <v>66</v>
      </c>
      <c r="D6" s="10">
        <v>20.8922674309926</v>
      </c>
      <c r="E6" s="10">
        <v>100</v>
      </c>
      <c r="F6" s="10">
        <v>4.59841734687519</v>
      </c>
      <c r="G6" s="10">
        <v>1.52969032338463</v>
      </c>
      <c r="H6" s="10">
        <v>15.6520655492554</v>
      </c>
      <c r="I6" s="10">
        <v>20.842420088479</v>
      </c>
      <c r="J6" s="10">
        <v>17.4839553866285</v>
      </c>
      <c r="K6" s="10">
        <v>15.4682534737367</v>
      </c>
      <c r="L6" s="10">
        <v>24.8894012087981</v>
      </c>
      <c r="M6" s="10">
        <v>0</v>
      </c>
      <c r="N6" s="10">
        <v>3.37404199638607</v>
      </c>
      <c r="O6" s="10">
        <v>3.29927098261574</v>
      </c>
      <c r="P6" s="10">
        <v>9.59249797495171</v>
      </c>
      <c r="Q6" s="10">
        <v>21.0636176708829</v>
      </c>
      <c r="R6" s="10">
        <v>12.5926849024861</v>
      </c>
      <c r="S6" s="10">
        <v>24.9267867156832</v>
      </c>
      <c r="T6" s="10">
        <v>10.274783475606</v>
      </c>
      <c r="U6" s="10">
        <v>22.350302199514</v>
      </c>
      <c r="V6" s="10">
        <v>11.7328182441274</v>
      </c>
      <c r="W6" s="10">
        <v>10.181319708393</v>
      </c>
      <c r="X6" s="29">
        <v>14.356</v>
      </c>
      <c r="Y6" s="30">
        <f>AVERAGE(D6:W6)</f>
        <v>17.5372297339398</v>
      </c>
    </row>
    <row r="7" ht="17.6" spans="2:25">
      <c r="C7" s="11" t="s">
        <v>67</v>
      </c>
      <c r="D7" s="12">
        <v>1.56093589050687</v>
      </c>
      <c r="E7" s="12">
        <v>0.286529218218965</v>
      </c>
      <c r="F7" s="12">
        <v>0.41406825338183</v>
      </c>
      <c r="G7" s="12">
        <v>0.358040675906885</v>
      </c>
      <c r="H7" s="12">
        <v>0.415334555864378</v>
      </c>
      <c r="I7" s="12">
        <v>0.305508151341238</v>
      </c>
      <c r="J7" s="12">
        <v>0.436216116921144</v>
      </c>
      <c r="K7" s="12">
        <v>0.720048880646765</v>
      </c>
      <c r="L7" s="12">
        <v>0.425741989568923</v>
      </c>
      <c r="M7" s="12">
        <v>0.850937521880987</v>
      </c>
      <c r="N7" s="12">
        <v>1.04553778507746</v>
      </c>
      <c r="O7" s="12">
        <v>0.445321077898923</v>
      </c>
      <c r="P7" s="12">
        <v>0.680226015050782</v>
      </c>
      <c r="Q7" s="12">
        <v>0.736007772783987</v>
      </c>
      <c r="R7" s="12">
        <v>1.2645141302678</v>
      </c>
      <c r="S7" s="12">
        <v>0.378294139089892</v>
      </c>
      <c r="T7" s="12">
        <v>0.508483961505201</v>
      </c>
      <c r="U7" s="12">
        <v>0.45303178366408</v>
      </c>
      <c r="V7" s="12">
        <v>0.600832333034493</v>
      </c>
      <c r="W7" s="12">
        <v>0.3958031411353</v>
      </c>
      <c r="X7" s="31"/>
      <c r="Y7" s="6"/>
    </row>
    <row r="8" ht="17.65" spans="2:25">
      <c r="B8" s="26"/>
      <c r="C8" s="14" t="s">
        <v>68</v>
      </c>
      <c r="D8" s="15">
        <v>20.8922674309926</v>
      </c>
      <c r="E8" s="15">
        <v>100</v>
      </c>
      <c r="F8" s="15">
        <v>4.59841734687519</v>
      </c>
      <c r="G8" s="15">
        <v>1.52969032338463</v>
      </c>
      <c r="H8" s="15">
        <v>15.6520655492554</v>
      </c>
      <c r="I8" s="15">
        <v>20.842420088479</v>
      </c>
      <c r="J8" s="15">
        <v>17.4839553866285</v>
      </c>
      <c r="K8" s="15">
        <v>15.4682534737367</v>
      </c>
      <c r="L8" s="15">
        <v>24.8894012087981</v>
      </c>
      <c r="M8" s="15">
        <v>0</v>
      </c>
      <c r="N8" s="15">
        <v>3.37404199638607</v>
      </c>
      <c r="O8" s="15">
        <v>3.29927098261574</v>
      </c>
      <c r="P8" s="15">
        <v>9.59249797495171</v>
      </c>
      <c r="Q8" s="15">
        <v>21.0636176708829</v>
      </c>
      <c r="R8" s="15">
        <v>12.5926849024861</v>
      </c>
      <c r="S8" s="15">
        <v>24.9267867156832</v>
      </c>
      <c r="T8" s="15">
        <v>10.274783475606</v>
      </c>
      <c r="U8" s="15">
        <v>22.350302199514</v>
      </c>
      <c r="V8" s="15">
        <v>11.7328182441274</v>
      </c>
      <c r="W8" s="15">
        <v>10.181319708393</v>
      </c>
      <c r="X8" s="28"/>
      <c r="Y8" s="6"/>
    </row>
    <row r="9" ht="17.6" spans="2:25">
      <c r="C9" s="11" t="s">
        <v>69</v>
      </c>
      <c r="D9" s="12">
        <v>6.40641301210186</v>
      </c>
      <c r="E9" s="12">
        <v>34.9004546976358</v>
      </c>
      <c r="F9" s="12">
        <v>24.1506078244994</v>
      </c>
      <c r="G9" s="12">
        <v>27.9297875155411</v>
      </c>
      <c r="H9" s="12">
        <v>24.0769756785308</v>
      </c>
      <c r="I9" s="12">
        <v>32.7323508590463</v>
      </c>
      <c r="J9" s="12">
        <v>22.9244166184894</v>
      </c>
      <c r="K9" s="12">
        <v>13.887946039188</v>
      </c>
      <c r="L9" s="12">
        <v>23.4884043505441</v>
      </c>
      <c r="M9" s="12">
        <v>11.7517440973752</v>
      </c>
      <c r="N9" s="12">
        <v>9.56445586446134</v>
      </c>
      <c r="O9" s="12">
        <v>22.4557077944327</v>
      </c>
      <c r="P9" s="12">
        <v>14.7009961082618</v>
      </c>
      <c r="Q9" s="12">
        <v>13.5868130334745</v>
      </c>
      <c r="R9" s="12">
        <v>7.9081757654082</v>
      </c>
      <c r="S9" s="12">
        <v>26.4344565952257</v>
      </c>
      <c r="T9" s="12">
        <v>19.6663036733711</v>
      </c>
      <c r="U9" s="12">
        <v>22.0735064527281</v>
      </c>
      <c r="V9" s="12">
        <v>16.6435783332351</v>
      </c>
      <c r="W9" s="12">
        <v>25.2650849897668</v>
      </c>
      <c r="X9" s="16"/>
      <c r="Y9" s="6"/>
    </row>
    <row r="10" ht="17.65" spans="2:25">
      <c r="C10" s="14" t="s">
        <v>70</v>
      </c>
      <c r="D10" s="12">
        <v>27.2986804430944</v>
      </c>
      <c r="E10" s="12">
        <v>134.900454697636</v>
      </c>
      <c r="F10" s="12">
        <v>28.7490251713746</v>
      </c>
      <c r="G10" s="12">
        <v>29.4594778389257</v>
      </c>
      <c r="H10" s="12">
        <v>39.7290412277862</v>
      </c>
      <c r="I10" s="12">
        <v>53.5747709475253</v>
      </c>
      <c r="J10" s="12">
        <v>40.4083720051179</v>
      </c>
      <c r="K10" s="12">
        <v>29.3561995129247</v>
      </c>
      <c r="L10" s="12">
        <v>48.3778055593422</v>
      </c>
      <c r="M10" s="12">
        <v>11.7517440973752</v>
      </c>
      <c r="N10" s="12">
        <v>12.9384978608474</v>
      </c>
      <c r="O10" s="12">
        <v>25.7549787770484</v>
      </c>
      <c r="P10" s="12">
        <v>24.2934940832135</v>
      </c>
      <c r="Q10" s="12">
        <v>34.6504307043574</v>
      </c>
      <c r="R10" s="12">
        <v>20.5008606678943</v>
      </c>
      <c r="S10" s="12">
        <v>51.3612433109089</v>
      </c>
      <c r="T10" s="12">
        <v>29.941087148977</v>
      </c>
      <c r="U10" s="12">
        <v>44.4238086522421</v>
      </c>
      <c r="V10" s="12">
        <v>28.3763965773625</v>
      </c>
      <c r="W10" s="12">
        <v>35.4464046981598</v>
      </c>
      <c r="X10" s="17"/>
      <c r="Y10" s="6"/>
    </row>
    <row r="11" ht="17.65" spans="2:25">
      <c r="C11" s="14" t="s">
        <v>71</v>
      </c>
      <c r="D11" s="12">
        <v>14.4858544188907</v>
      </c>
      <c r="E11" s="12">
        <v>65.0995453023642</v>
      </c>
      <c r="F11" s="12">
        <v>-19.55</v>
      </c>
      <c r="G11" s="12">
        <v>-26.4</v>
      </c>
      <c r="H11" s="12">
        <v>-8.42491012927536</v>
      </c>
      <c r="I11" s="12">
        <v>-11.8899307705673</v>
      </c>
      <c r="J11" s="12">
        <v>-5.44046123186095</v>
      </c>
      <c r="K11" s="12">
        <v>1.58030743454866</v>
      </c>
      <c r="L11" s="12">
        <v>1.40099685825392</v>
      </c>
      <c r="M11" s="12">
        <v>-11.7517440973752</v>
      </c>
      <c r="N11" s="12">
        <v>-6.19041386807527</v>
      </c>
      <c r="O11" s="12">
        <v>-19.1564368118169</v>
      </c>
      <c r="P11" s="12">
        <v>-5.10849813331012</v>
      </c>
      <c r="Q11" s="12">
        <v>7.47680463740843</v>
      </c>
      <c r="R11" s="12">
        <v>4.68450913707794</v>
      </c>
      <c r="S11" s="12">
        <v>-1.50766987954243</v>
      </c>
      <c r="T11" s="12">
        <v>-9.3915201977651</v>
      </c>
      <c r="U11" s="12">
        <v>0.276795746785876</v>
      </c>
      <c r="V11" s="12">
        <v>-4.91076008910777</v>
      </c>
      <c r="W11" s="12">
        <v>-15.0837652813737</v>
      </c>
      <c r="X11" s="17"/>
      <c r="Y11" s="18"/>
    </row>
    <row r="12" ht="17.6" spans="2:25">
      <c r="C12" s="1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20"/>
      <c r="X12" s="18"/>
      <c r="Y12" s="18"/>
    </row>
    <row r="13" ht="17.6" spans="2:25">
      <c r="C13" s="11" t="s">
        <v>72</v>
      </c>
      <c r="D13" s="12">
        <v>2.55449908966584</v>
      </c>
      <c r="E13" s="12">
        <v>0.264544211811803</v>
      </c>
      <c r="F13" s="12">
        <v>6.89491250253199</v>
      </c>
      <c r="G13" s="12">
        <v>4.62792116433154</v>
      </c>
      <c r="H13" s="12">
        <v>0.804481878942342</v>
      </c>
      <c r="I13" s="12">
        <v>0.380574119209771</v>
      </c>
      <c r="J13" s="12">
        <v>0.762794452690888</v>
      </c>
      <c r="K13" s="12">
        <v>4.86022226798849</v>
      </c>
      <c r="L13" s="12">
        <v>0.474402990866638</v>
      </c>
      <c r="M13" s="12">
        <v>3.65749689078278</v>
      </c>
      <c r="N13" s="12">
        <v>6.46263458025813</v>
      </c>
      <c r="O13" s="12">
        <v>0.887380392848451</v>
      </c>
      <c r="P13" s="12">
        <v>1.01961331597213</v>
      </c>
      <c r="Q13" s="12">
        <v>1.42672691902113</v>
      </c>
      <c r="R13" s="12">
        <v>1.66250866350414</v>
      </c>
      <c r="S13" s="12">
        <v>0.415583329794674</v>
      </c>
      <c r="T13" s="12">
        <v>3.78442878521986</v>
      </c>
      <c r="U13" s="12">
        <v>0.583937234096638</v>
      </c>
      <c r="V13" s="12">
        <v>9.2788812211591</v>
      </c>
      <c r="W13" s="12">
        <v>1.22733657730047</v>
      </c>
      <c r="X13" s="17"/>
      <c r="Y13" s="18"/>
    </row>
    <row r="14" ht="17.65" spans="2:25">
      <c r="C14" s="14" t="s">
        <v>73</v>
      </c>
      <c r="D14" s="15">
        <v>23.3840186448363</v>
      </c>
      <c r="E14" s="15">
        <v>27.2986804430944</v>
      </c>
      <c r="F14" s="15">
        <v>27.2986804430944</v>
      </c>
      <c r="G14" s="15">
        <v>27.2986804430944</v>
      </c>
      <c r="H14" s="15">
        <v>27.2986804430944</v>
      </c>
      <c r="I14" s="15">
        <v>27.2986804430944</v>
      </c>
      <c r="J14" s="15">
        <v>27.2986804430944</v>
      </c>
      <c r="K14" s="15">
        <v>27.2986804430944</v>
      </c>
      <c r="L14" s="15">
        <v>27.2986804430944</v>
      </c>
      <c r="M14" s="15">
        <v>14.4858544188907</v>
      </c>
      <c r="N14" s="15">
        <v>14.4858544188907</v>
      </c>
      <c r="O14" s="15">
        <v>14.4858544188907</v>
      </c>
      <c r="P14" s="15">
        <v>14.4858544188907</v>
      </c>
      <c r="Q14" s="15">
        <v>14.4858544188907</v>
      </c>
      <c r="R14" s="15">
        <v>14.4858544188907</v>
      </c>
      <c r="S14" s="15">
        <v>27.2986804430944</v>
      </c>
      <c r="T14" s="15">
        <v>27.2986804430944</v>
      </c>
      <c r="U14" s="15">
        <v>27.2986804430944</v>
      </c>
      <c r="V14" s="15">
        <v>27.2986804430944</v>
      </c>
      <c r="W14" s="15">
        <v>27.2986804430944</v>
      </c>
      <c r="X14" s="18"/>
      <c r="Y14" s="18"/>
    </row>
    <row r="15" ht="17.6" spans="2:25">
      <c r="C15" s="11" t="s">
        <v>74</v>
      </c>
      <c r="D15" s="12">
        <v>3.91466179825812</v>
      </c>
      <c r="E15" s="12">
        <v>37.8008648592698</v>
      </c>
      <c r="F15" s="12">
        <v>1.45034472828013</v>
      </c>
      <c r="G15" s="12">
        <v>2.16079739583127</v>
      </c>
      <c r="H15" s="12">
        <v>12.4303607846917</v>
      </c>
      <c r="I15" s="12">
        <v>26.2760905044309</v>
      </c>
      <c r="J15" s="12">
        <v>13.1096915620234</v>
      </c>
      <c r="K15" s="12">
        <v>2.05751906983026</v>
      </c>
      <c r="L15" s="12">
        <v>21.0791251162477</v>
      </c>
      <c r="M15" s="12">
        <v>2.73411032151548</v>
      </c>
      <c r="N15" s="12">
        <v>1.54735655804333</v>
      </c>
      <c r="O15" s="12">
        <v>11.2691243581577</v>
      </c>
      <c r="P15" s="12">
        <v>9.80763966432281</v>
      </c>
      <c r="Q15" s="12">
        <v>7.0090497814823</v>
      </c>
      <c r="R15" s="12">
        <v>6.0150062490036</v>
      </c>
      <c r="S15" s="12">
        <v>24.0625628678144</v>
      </c>
      <c r="T15" s="12">
        <v>2.64240670588257</v>
      </c>
      <c r="U15" s="12">
        <v>17.1251282091477</v>
      </c>
      <c r="V15" s="12">
        <v>1.07771613426805</v>
      </c>
      <c r="W15" s="12">
        <v>8.14772425506538</v>
      </c>
      <c r="X15" s="17"/>
      <c r="Y15" s="18"/>
    </row>
    <row r="16" ht="17.65" spans="2:25">
      <c r="C16" s="14" t="s">
        <v>75</v>
      </c>
      <c r="D16" s="12">
        <v>27.2986804430944</v>
      </c>
      <c r="E16" s="12">
        <v>65.0995453023642</v>
      </c>
      <c r="F16" s="12">
        <v>28.7490251713746</v>
      </c>
      <c r="G16" s="12">
        <v>29.4594778389257</v>
      </c>
      <c r="H16" s="12">
        <v>39.7290412277862</v>
      </c>
      <c r="I16" s="12">
        <v>53.5747709475253</v>
      </c>
      <c r="J16" s="12">
        <v>40.4083720051179</v>
      </c>
      <c r="K16" s="12">
        <v>29.3561995129247</v>
      </c>
      <c r="L16" s="12">
        <v>48.3778055593422</v>
      </c>
      <c r="M16" s="12">
        <v>17.2199647404062</v>
      </c>
      <c r="N16" s="12">
        <v>16.0332109769341</v>
      </c>
      <c r="O16" s="12">
        <v>25.7549787770484</v>
      </c>
      <c r="P16" s="12">
        <v>24.2934940832135</v>
      </c>
      <c r="Q16" s="12">
        <v>21.494904200373</v>
      </c>
      <c r="R16" s="12">
        <v>20.5008606678943</v>
      </c>
      <c r="S16" s="12">
        <v>51.3612433109089</v>
      </c>
      <c r="T16" s="12">
        <v>29.941087148977</v>
      </c>
      <c r="U16" s="12">
        <v>44.4238086522421</v>
      </c>
      <c r="V16" s="12">
        <v>28.3763965773625</v>
      </c>
      <c r="W16" s="12">
        <v>35.4464046981598</v>
      </c>
      <c r="X16" s="17"/>
      <c r="Y16" s="18"/>
    </row>
    <row r="17" ht="17.65" spans="3:25">
      <c r="C17" s="14" t="s">
        <v>76</v>
      </c>
      <c r="D17" s="12">
        <v>19.4693568465782</v>
      </c>
      <c r="E17" s="12">
        <v>-10.5021844161753</v>
      </c>
      <c r="F17" s="12">
        <v>25.8483357148143</v>
      </c>
      <c r="G17" s="12">
        <v>25.1378830472632</v>
      </c>
      <c r="H17" s="12">
        <v>14.8683196584027</v>
      </c>
      <c r="I17" s="12">
        <v>1.02258993866355</v>
      </c>
      <c r="J17" s="12">
        <v>14.188988881071</v>
      </c>
      <c r="K17" s="12">
        <v>25.2411613732642</v>
      </c>
      <c r="L17" s="12">
        <v>6.21955532684669</v>
      </c>
      <c r="M17" s="12">
        <v>11.7517440973752</v>
      </c>
      <c r="N17" s="12">
        <v>12.9384978608474</v>
      </c>
      <c r="O17" s="12">
        <v>3.21673006073306</v>
      </c>
      <c r="P17" s="12">
        <v>4.67821475456792</v>
      </c>
      <c r="Q17" s="12">
        <v>7.47680463740843</v>
      </c>
      <c r="R17" s="12">
        <v>8.47084816988713</v>
      </c>
      <c r="S17" s="12">
        <v>3.23611757528</v>
      </c>
      <c r="T17" s="12">
        <v>24.6562737372119</v>
      </c>
      <c r="U17" s="12">
        <v>10.1735522339468</v>
      </c>
      <c r="V17" s="12">
        <v>26.2209643088264</v>
      </c>
      <c r="W17" s="12">
        <v>19.1509561880291</v>
      </c>
      <c r="X17" s="18"/>
      <c r="Y17" s="18"/>
    </row>
    <row r="18" ht="17.6" spans="3:25">
      <c r="C18" s="19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8"/>
      <c r="Y18" s="18"/>
    </row>
    <row r="19" ht="17.6" spans="3:25">
      <c r="C19" s="11" t="s">
        <v>77</v>
      </c>
      <c r="D19" s="12">
        <v>9.27888122115909</v>
      </c>
      <c r="E19" s="12">
        <v>0.272307804401093</v>
      </c>
      <c r="F19" s="12">
        <v>26.8363731626993</v>
      </c>
      <c r="G19" s="12">
        <v>9.23291756111352</v>
      </c>
      <c r="H19" s="12">
        <v>0.880852022407555</v>
      </c>
      <c r="I19" s="12">
        <v>0.396850997334213</v>
      </c>
      <c r="J19" s="12">
        <v>0.831118718621383</v>
      </c>
      <c r="K19" s="12">
        <v>10.2061339449468</v>
      </c>
      <c r="L19" s="12">
        <v>0.499964777931871</v>
      </c>
      <c r="M19" s="12">
        <v>1.11098772130651</v>
      </c>
      <c r="N19" s="12">
        <v>0.981570683370928</v>
      </c>
      <c r="O19" s="12">
        <v>21.4598937478694</v>
      </c>
      <c r="P19" s="12">
        <v>5.18814758698567</v>
      </c>
      <c r="Q19" s="12">
        <v>2.11592738359661</v>
      </c>
      <c r="R19" s="12">
        <v>1.74822007217522</v>
      </c>
      <c r="S19" s="12">
        <v>0.435069248706584</v>
      </c>
      <c r="T19" s="12">
        <v>6.3910399803084</v>
      </c>
      <c r="U19" s="12">
        <v>0.623153437659513</v>
      </c>
      <c r="V19" s="12">
        <v>11.0663266193066</v>
      </c>
      <c r="W19" s="12">
        <v>1.41442553235317</v>
      </c>
      <c r="X19" s="18"/>
      <c r="Y19" s="18"/>
    </row>
    <row r="20" ht="17.65" spans="3:25">
      <c r="C20" s="14" t="s">
        <v>78</v>
      </c>
      <c r="D20" s="15">
        <v>26.2209643088264</v>
      </c>
      <c r="E20" s="15">
        <v>28.3763965773625</v>
      </c>
      <c r="F20" s="15">
        <v>28.3763965773625</v>
      </c>
      <c r="G20" s="15">
        <v>28.3763965773625</v>
      </c>
      <c r="H20" s="15">
        <v>28.3763965773625</v>
      </c>
      <c r="I20" s="15">
        <v>28.3763965773625</v>
      </c>
      <c r="J20" s="15">
        <v>28.3763965773625</v>
      </c>
      <c r="K20" s="15">
        <v>28.3763965773625</v>
      </c>
      <c r="L20" s="15">
        <v>28.3763965773625</v>
      </c>
      <c r="M20" s="15">
        <v>26.2209643088264</v>
      </c>
      <c r="N20" s="15">
        <v>26.2209643088264</v>
      </c>
      <c r="O20" s="15">
        <v>26.2209643088264</v>
      </c>
      <c r="P20" s="15">
        <v>26.2209643088264</v>
      </c>
      <c r="Q20" s="15">
        <v>26.2209643088264</v>
      </c>
      <c r="R20" s="15">
        <v>26.2209643088264</v>
      </c>
      <c r="S20" s="15">
        <v>28.3763965773625</v>
      </c>
      <c r="T20" s="15">
        <v>28.3763965773625</v>
      </c>
      <c r="U20" s="15">
        <v>28.3763965773625</v>
      </c>
      <c r="V20" s="15">
        <v>27.4727543531619</v>
      </c>
      <c r="W20" s="15">
        <v>28.3763965773625</v>
      </c>
      <c r="X20" s="18"/>
      <c r="Y20" s="18"/>
    </row>
    <row r="21" ht="17.6" spans="3:25">
      <c r="C21" s="11" t="s">
        <v>79</v>
      </c>
      <c r="D21" s="12">
        <v>1.07771613426805</v>
      </c>
      <c r="E21" s="12">
        <v>36.7231487250017</v>
      </c>
      <c r="F21" s="12">
        <v>0.372628594012074</v>
      </c>
      <c r="G21" s="12">
        <v>1.08308126156322</v>
      </c>
      <c r="H21" s="12">
        <v>11.3526446504237</v>
      </c>
      <c r="I21" s="12">
        <v>25.1983743701628</v>
      </c>
      <c r="J21" s="12">
        <v>12.0319754277554</v>
      </c>
      <c r="K21" s="12">
        <v>0.97980293556221</v>
      </c>
      <c r="L21" s="12">
        <v>20.0014089819797</v>
      </c>
      <c r="M21" s="12">
        <v>9.00099956842017</v>
      </c>
      <c r="N21" s="12">
        <v>10.1877533318923</v>
      </c>
      <c r="O21" s="12">
        <v>0.465985531777987</v>
      </c>
      <c r="P21" s="12">
        <v>1.92747022561285</v>
      </c>
      <c r="Q21" s="12">
        <v>4.72606010845336</v>
      </c>
      <c r="R21" s="12">
        <v>5.72010364093206</v>
      </c>
      <c r="S21" s="12">
        <v>22.9848467335464</v>
      </c>
      <c r="T21" s="12">
        <v>1.56469057161452</v>
      </c>
      <c r="U21" s="12">
        <v>16.0474120748796</v>
      </c>
      <c r="V21" s="12">
        <v>0.903642224200556</v>
      </c>
      <c r="W21" s="12">
        <v>7.07000812079733</v>
      </c>
      <c r="X21" s="18"/>
      <c r="Y21" s="18"/>
    </row>
    <row r="22" ht="17.65" spans="3:25">
      <c r="C22" s="14" t="s">
        <v>80</v>
      </c>
      <c r="D22" s="12">
        <v>27.2986804430944</v>
      </c>
      <c r="E22" s="12">
        <v>65.0995453023642</v>
      </c>
      <c r="F22" s="12">
        <v>28.7490251713746</v>
      </c>
      <c r="G22" s="12">
        <v>29.4594778389257</v>
      </c>
      <c r="H22" s="12">
        <v>39.7290412277862</v>
      </c>
      <c r="I22" s="12">
        <v>53.5747709475253</v>
      </c>
      <c r="J22" s="12">
        <v>40.4083720051179</v>
      </c>
      <c r="K22" s="12">
        <v>29.3561995129247</v>
      </c>
      <c r="L22" s="12">
        <v>48.3778055593422</v>
      </c>
      <c r="M22" s="12">
        <v>35.2219638772466</v>
      </c>
      <c r="N22" s="12">
        <v>36.4087176407187</v>
      </c>
      <c r="O22" s="12">
        <v>26.6869498406044</v>
      </c>
      <c r="P22" s="12">
        <v>28.1484345344392</v>
      </c>
      <c r="Q22" s="12">
        <v>30.9470244172797</v>
      </c>
      <c r="R22" s="12">
        <v>31.9410679497584</v>
      </c>
      <c r="S22" s="12">
        <v>51.3612433109089</v>
      </c>
      <c r="T22" s="12">
        <v>29.941087148977</v>
      </c>
      <c r="U22" s="12">
        <v>44.4238086522421</v>
      </c>
      <c r="V22" s="12">
        <v>28.3763965773625</v>
      </c>
      <c r="W22" s="12">
        <v>35.4464046981598</v>
      </c>
      <c r="X22" s="18"/>
      <c r="Y22" s="18"/>
    </row>
    <row r="23" ht="17.65" spans="3:25">
      <c r="C23" s="14" t="s">
        <v>81</v>
      </c>
      <c r="D23" s="12">
        <v>25.1432481745583</v>
      </c>
      <c r="E23" s="12">
        <v>-8.34675214763923</v>
      </c>
      <c r="F23" s="12">
        <v>28.0037679833504</v>
      </c>
      <c r="G23" s="12">
        <v>27.2933153157993</v>
      </c>
      <c r="H23" s="12">
        <v>17.0237519269388</v>
      </c>
      <c r="I23" s="12">
        <v>3.17802220719966</v>
      </c>
      <c r="J23" s="12">
        <v>16.3444211496071</v>
      </c>
      <c r="K23" s="12">
        <v>27.3965936418003</v>
      </c>
      <c r="L23" s="12">
        <v>8.3749875953828</v>
      </c>
      <c r="M23" s="12">
        <v>17.2199647404062</v>
      </c>
      <c r="N23" s="12">
        <v>16.0332109769341</v>
      </c>
      <c r="O23" s="12">
        <v>25.7549787770484</v>
      </c>
      <c r="P23" s="12">
        <v>24.2934940832135</v>
      </c>
      <c r="Q23" s="12">
        <v>21.494904200373</v>
      </c>
      <c r="R23" s="12">
        <v>20.5008606678943</v>
      </c>
      <c r="S23" s="12">
        <v>5.3915498438161</v>
      </c>
      <c r="T23" s="12">
        <v>26.811706005748</v>
      </c>
      <c r="U23" s="12">
        <v>12.3289845024829</v>
      </c>
      <c r="V23" s="12">
        <v>26.5691121289614</v>
      </c>
      <c r="W23" s="12">
        <v>21.3063884565652</v>
      </c>
      <c r="X23" s="18"/>
      <c r="Y23" s="18"/>
    </row>
    <row r="24" spans="3:25">
      <c r="C24" s="18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8"/>
      <c r="Y24" s="18"/>
    </row>
    <row r="25" ht="17.6" spans="3:25">
      <c r="C25" s="11" t="s">
        <v>82</v>
      </c>
      <c r="D25" s="12">
        <v>14.1826360970293</v>
      </c>
      <c r="E25" s="12">
        <v>0.275099227300321</v>
      </c>
      <c r="F25" s="12">
        <v>42.3562184798509</v>
      </c>
      <c r="G25" s="12">
        <v>14.0755330463731</v>
      </c>
      <c r="H25" s="12">
        <v>0.910745480573379</v>
      </c>
      <c r="I25" s="12">
        <v>0.402807637287846</v>
      </c>
      <c r="J25" s="12">
        <v>0.85768097841116</v>
      </c>
      <c r="K25" s="12">
        <v>16.4697341697109</v>
      </c>
      <c r="L25" s="12">
        <v>0.509456002988855</v>
      </c>
      <c r="M25" s="12">
        <v>1.54489335592324</v>
      </c>
      <c r="N25" s="12">
        <v>1.30553544284216</v>
      </c>
      <c r="O25" s="12">
        <v>7.59406304893885</v>
      </c>
      <c r="P25" s="12">
        <v>69.1244791884243</v>
      </c>
      <c r="Q25" s="12">
        <v>4.54959209773605</v>
      </c>
      <c r="R25" s="12">
        <v>3.13279009533292</v>
      </c>
      <c r="S25" s="12">
        <v>0.442238790475685</v>
      </c>
      <c r="T25" s="12">
        <v>8.38882557106021</v>
      </c>
      <c r="U25" s="12">
        <v>0.637967344952859</v>
      </c>
      <c r="V25" s="12">
        <v>26.8363731626993</v>
      </c>
      <c r="W25" s="12">
        <v>1.49312129617358</v>
      </c>
      <c r="X25" s="18"/>
      <c r="Y25" s="18"/>
    </row>
    <row r="26" ht="17.65" spans="3:25">
      <c r="C26" s="14" t="s">
        <v>83</v>
      </c>
      <c r="D26" s="15">
        <v>28.0037679833504</v>
      </c>
      <c r="E26" s="15">
        <v>28.0037679833504</v>
      </c>
      <c r="F26" s="15">
        <v>28.2398608254146</v>
      </c>
      <c r="G26" s="15">
        <v>28.7490251713746</v>
      </c>
      <c r="H26" s="15">
        <v>28.7490251713746</v>
      </c>
      <c r="I26" s="15">
        <v>28.7490251713746</v>
      </c>
      <c r="J26" s="15">
        <v>28.7490251713746</v>
      </c>
      <c r="K26" s="15">
        <v>28.7490251713746</v>
      </c>
      <c r="L26" s="15">
        <v>28.7490251713746</v>
      </c>
      <c r="M26" s="15">
        <v>28.7490251713746</v>
      </c>
      <c r="N26" s="15">
        <v>28.7490251713746</v>
      </c>
      <c r="O26" s="15">
        <v>28.0037679833504</v>
      </c>
      <c r="P26" s="15">
        <v>28.0037679833504</v>
      </c>
      <c r="Q26" s="15">
        <v>28.7490251713746</v>
      </c>
      <c r="R26" s="15">
        <v>28.7490251713746</v>
      </c>
      <c r="S26" s="15">
        <v>28.7490251713746</v>
      </c>
      <c r="T26" s="15">
        <v>28.7490251713746</v>
      </c>
      <c r="U26" s="15">
        <v>28.7490251713746</v>
      </c>
      <c r="V26" s="15">
        <v>28.0037679833504</v>
      </c>
      <c r="W26" s="15">
        <v>28.7490251713746</v>
      </c>
      <c r="X26" s="18"/>
      <c r="Y26" s="18"/>
    </row>
    <row r="27" ht="17.6" spans="3:25">
      <c r="C27" s="11" t="s">
        <v>84</v>
      </c>
      <c r="D27" s="12">
        <v>0.705087540255977</v>
      </c>
      <c r="E27" s="12">
        <v>36.3505201309896</v>
      </c>
      <c r="F27" s="12">
        <v>0.236092842064195</v>
      </c>
      <c r="G27" s="12">
        <v>0.710452667551142</v>
      </c>
      <c r="H27" s="12">
        <v>10.9800160564116</v>
      </c>
      <c r="I27" s="12">
        <v>24.8257457761508</v>
      </c>
      <c r="J27" s="12">
        <v>11.6593468337433</v>
      </c>
      <c r="K27" s="12">
        <v>0.607174341550136</v>
      </c>
      <c r="L27" s="12">
        <v>19.6287803879676</v>
      </c>
      <c r="M27" s="12">
        <v>6.472938705872</v>
      </c>
      <c r="N27" s="12">
        <v>7.65969246934415</v>
      </c>
      <c r="O27" s="12">
        <v>1.31681814274604</v>
      </c>
      <c r="P27" s="12">
        <v>0.144666551088816</v>
      </c>
      <c r="Q27" s="12">
        <v>2.19799924590518</v>
      </c>
      <c r="R27" s="12">
        <v>3.19204277838388</v>
      </c>
      <c r="S27" s="12">
        <v>22.6122181395343</v>
      </c>
      <c r="T27" s="12">
        <v>1.19206197760245</v>
      </c>
      <c r="U27" s="12">
        <v>15.6747834808675</v>
      </c>
      <c r="V27" s="12">
        <v>0.372628594012074</v>
      </c>
      <c r="W27" s="12">
        <v>6.69737952678526</v>
      </c>
      <c r="X27" s="18"/>
      <c r="Y27" s="18"/>
    </row>
    <row r="28" ht="17.65" spans="3:25">
      <c r="C28" s="14" t="s">
        <v>85</v>
      </c>
      <c r="D28" s="12">
        <v>28.7088555236064</v>
      </c>
      <c r="E28" s="12">
        <v>64.3542881143401</v>
      </c>
      <c r="F28" s="12">
        <v>28.4759536674788</v>
      </c>
      <c r="G28" s="12">
        <v>29.4594778389257</v>
      </c>
      <c r="H28" s="12">
        <v>39.7290412277862</v>
      </c>
      <c r="I28" s="12">
        <v>53.5747709475253</v>
      </c>
      <c r="J28" s="12">
        <v>40.4083720051179</v>
      </c>
      <c r="K28" s="12">
        <v>29.3561995129247</v>
      </c>
      <c r="L28" s="12">
        <v>48.3778055593422</v>
      </c>
      <c r="M28" s="12">
        <v>35.2219638772466</v>
      </c>
      <c r="N28" s="12">
        <v>36.4087176407187</v>
      </c>
      <c r="O28" s="12">
        <v>29.3205861260965</v>
      </c>
      <c r="P28" s="12">
        <v>28.1484345344392</v>
      </c>
      <c r="Q28" s="12">
        <v>30.9470244172797</v>
      </c>
      <c r="R28" s="12">
        <v>31.9410679497584</v>
      </c>
      <c r="S28" s="12">
        <v>51.3612433109089</v>
      </c>
      <c r="T28" s="12">
        <v>29.941087148977</v>
      </c>
      <c r="U28" s="12">
        <v>44.4238086522421</v>
      </c>
      <c r="V28" s="12">
        <v>28.3763965773625</v>
      </c>
      <c r="W28" s="12">
        <v>35.4464046981598</v>
      </c>
      <c r="X28" s="18"/>
      <c r="Y28" s="18"/>
    </row>
    <row r="29" ht="17.65" spans="3:25">
      <c r="C29" s="14" t="s">
        <v>86</v>
      </c>
      <c r="D29" s="12">
        <v>27.2986804430944</v>
      </c>
      <c r="E29" s="12">
        <v>-8.34675214763922</v>
      </c>
      <c r="F29" s="12">
        <v>28.0037679833504</v>
      </c>
      <c r="G29" s="12">
        <v>28.0385725038234</v>
      </c>
      <c r="H29" s="12">
        <v>17.769009114963</v>
      </c>
      <c r="I29" s="12">
        <v>3.9232793952238</v>
      </c>
      <c r="J29" s="12">
        <v>17.0896783376313</v>
      </c>
      <c r="K29" s="12">
        <v>28.1418508298244</v>
      </c>
      <c r="L29" s="12">
        <v>9.12024478340694</v>
      </c>
      <c r="M29" s="12">
        <v>22.2760864655026</v>
      </c>
      <c r="N29" s="12">
        <v>21.0893327020304</v>
      </c>
      <c r="O29" s="12">
        <v>26.6869498406044</v>
      </c>
      <c r="P29" s="12">
        <v>27.8591014322616</v>
      </c>
      <c r="Q29" s="12">
        <v>26.5510259254694</v>
      </c>
      <c r="R29" s="12">
        <v>25.5569823929907</v>
      </c>
      <c r="S29" s="12">
        <v>6.13680703184025</v>
      </c>
      <c r="T29" s="12">
        <v>27.5569631937721</v>
      </c>
      <c r="U29" s="12">
        <v>13.074241690507</v>
      </c>
      <c r="V29" s="12">
        <v>27.6311393893383</v>
      </c>
      <c r="W29" s="12">
        <v>22.0516456445893</v>
      </c>
      <c r="X29" s="18"/>
      <c r="Y29" s="18"/>
    </row>
    <row r="30" ht="17.6" spans="3:25">
      <c r="C30" s="19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8"/>
      <c r="Y30" s="18"/>
    </row>
    <row r="31" ht="17.6" spans="3:25">
      <c r="C31" s="11" t="s">
        <v>87</v>
      </c>
      <c r="D31" s="12">
        <v>17.8437285421108</v>
      </c>
      <c r="E31" s="12">
        <v>0.276198432331709</v>
      </c>
      <c r="F31" s="12">
        <v>69.1244791884234</v>
      </c>
      <c r="G31" s="12">
        <v>91.0232583900626</v>
      </c>
      <c r="H31" s="12">
        <v>0.963444467863866</v>
      </c>
      <c r="I31" s="12">
        <v>0.412794054053842</v>
      </c>
      <c r="J31" s="12">
        <v>0.9042608248192</v>
      </c>
      <c r="K31" s="12">
        <v>1518.9016799919</v>
      </c>
      <c r="L31" s="12">
        <v>0.525536066795713</v>
      </c>
      <c r="M31" s="12">
        <v>1.7028963342445</v>
      </c>
      <c r="N31" s="12">
        <v>1.41661081500331</v>
      </c>
      <c r="O31" s="12">
        <v>8.53131972961082</v>
      </c>
      <c r="P31" s="21">
        <v>5629499534213120</v>
      </c>
      <c r="Q31" s="12">
        <v>6.26013904260156</v>
      </c>
      <c r="R31" s="12">
        <v>3.85884031584326</v>
      </c>
      <c r="S31" s="12">
        <v>0.454305343792469</v>
      </c>
      <c r="T31" s="12">
        <v>16.9069899290827</v>
      </c>
      <c r="U31" s="12">
        <v>0.663385436522745</v>
      </c>
      <c r="V31" s="12">
        <v>43.8669520230898</v>
      </c>
      <c r="W31" s="12">
        <v>1.64020768648366</v>
      </c>
      <c r="X31" s="18"/>
      <c r="Y31" s="18"/>
    </row>
    <row r="32" ht="20.25" spans="3:25">
      <c r="C32" s="14" t="s">
        <v>88</v>
      </c>
      <c r="D32" s="15">
        <v>28.1484345344392</v>
      </c>
      <c r="E32" s="15">
        <v>28.1484345344392</v>
      </c>
      <c r="F32" s="15">
        <v>28.1484345344392</v>
      </c>
      <c r="G32" s="15">
        <v>28.1484345344392</v>
      </c>
      <c r="H32" s="15">
        <v>28.1484345344392</v>
      </c>
      <c r="I32" s="15">
        <v>28.1484345344392</v>
      </c>
      <c r="J32" s="15">
        <v>28.1484345344392</v>
      </c>
      <c r="K32" s="15">
        <v>28.1484345344392</v>
      </c>
      <c r="L32" s="15">
        <v>28.1484345344392</v>
      </c>
      <c r="M32" s="15">
        <v>28.1484345344392</v>
      </c>
      <c r="N32" s="15">
        <v>28.1484345344392</v>
      </c>
      <c r="O32" s="15">
        <v>28.1484345344392</v>
      </c>
      <c r="P32" s="22">
        <v>28.1484345344392</v>
      </c>
      <c r="Q32" s="15">
        <v>28.1484345344392</v>
      </c>
      <c r="R32" s="15">
        <v>28.1484345344392</v>
      </c>
      <c r="S32" s="15">
        <v>28.1484345344392</v>
      </c>
      <c r="T32" s="15">
        <v>28.1484345344392</v>
      </c>
      <c r="U32" s="15">
        <v>28.1484345344392</v>
      </c>
      <c r="V32" s="15">
        <v>28.1484345344392</v>
      </c>
      <c r="W32" s="15">
        <v>28.1484345344392</v>
      </c>
      <c r="X32" s="23"/>
      <c r="Y32" s="18"/>
    </row>
    <row r="33" ht="17.6" spans="3:25">
      <c r="C33" s="11" t="s">
        <v>89</v>
      </c>
      <c r="D33" s="12">
        <v>0.560420989167159</v>
      </c>
      <c r="E33" s="12">
        <v>36.2058535799008</v>
      </c>
      <c r="F33" s="12">
        <v>0.144666551088818</v>
      </c>
      <c r="G33" s="12">
        <v>0.109862030615812</v>
      </c>
      <c r="H33" s="12">
        <v>10.3794254194763</v>
      </c>
      <c r="I33" s="12">
        <v>24.2251551392154</v>
      </c>
      <c r="J33" s="12">
        <v>11.058756196808</v>
      </c>
      <c r="K33" s="12">
        <v>0.00658370461480651</v>
      </c>
      <c r="L33" s="12">
        <v>19.0281897510323</v>
      </c>
      <c r="M33" s="12">
        <v>5.87234806893667</v>
      </c>
      <c r="N33" s="12">
        <v>7.05910183240883</v>
      </c>
      <c r="O33" s="12">
        <v>1.17215159165722</v>
      </c>
      <c r="P33" s="24">
        <v>1.77635683940025e-15</v>
      </c>
      <c r="Q33" s="12">
        <v>1.59740860896985</v>
      </c>
      <c r="R33" s="12">
        <v>2.59145214144855</v>
      </c>
      <c r="S33" s="12">
        <v>22.011627502599</v>
      </c>
      <c r="T33" s="12">
        <v>0.591471340667116</v>
      </c>
      <c r="U33" s="12">
        <v>15.0741928439322</v>
      </c>
      <c r="V33" s="12">
        <v>0.227962042923256</v>
      </c>
      <c r="W33" s="12">
        <v>6.09678888984993</v>
      </c>
      <c r="X33" s="18"/>
      <c r="Y33" s="18"/>
    </row>
    <row r="34" ht="17.6" spans="3:25">
      <c r="C34" s="32"/>
    </row>
    <row r="35" ht="17.6" spans="3:25">
      <c r="C35" s="32"/>
    </row>
    <row r="54" spans="8:8">
      <c r="H54" s="33"/>
    </row>
  </sheetData>
  <mergeCells count="1">
    <mergeCell ref="C3:Y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X27"/>
  <sheetViews>
    <sheetView zoomScale="55" zoomScaleNormal="55" workbookViewId="0">
      <selection activeCell="B6" sqref="B6:B27"/>
    </sheetView>
  </sheetViews>
  <sheetFormatPr defaultColWidth="9.02654867256637" defaultRowHeight="13.85"/>
  <cols>
    <col min="2" max="2" width="13.8849557522124" customWidth="1"/>
    <col min="10" max="10" width="12.646017699115"/>
    <col min="23" max="23" width="14.5575221238938" customWidth="1"/>
  </cols>
  <sheetData>
    <row r="3" ht="63" customHeight="1" spans="2:24">
      <c r="B3" s="1" t="s">
        <v>90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7.6" spans="2:24">
      <c r="B4" s="3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4" t="s">
        <v>40</v>
      </c>
      <c r="L4" s="4" t="s">
        <v>41</v>
      </c>
      <c r="M4" s="4" t="s">
        <v>42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52</v>
      </c>
      <c r="X4" s="6" t="s">
        <v>64</v>
      </c>
    </row>
    <row r="5" ht="40.5" spans="2:24">
      <c r="B5" s="7" t="s">
        <v>65</v>
      </c>
      <c r="C5" s="8">
        <v>1.225</v>
      </c>
      <c r="D5" s="8">
        <v>1.836</v>
      </c>
      <c r="E5" s="8">
        <v>1.984</v>
      </c>
      <c r="F5" s="8">
        <v>1.242</v>
      </c>
      <c r="G5" s="8">
        <v>1.352</v>
      </c>
      <c r="H5" s="8">
        <v>1.439</v>
      </c>
      <c r="I5" s="8">
        <v>1.521</v>
      </c>
      <c r="J5" s="8">
        <v>0.9729</v>
      </c>
      <c r="K5" s="8">
        <v>1.269</v>
      </c>
      <c r="L5" s="8">
        <v>1.492</v>
      </c>
      <c r="M5" s="8">
        <v>1.315</v>
      </c>
      <c r="N5" s="8">
        <v>1.069</v>
      </c>
      <c r="O5" s="8">
        <v>1.152</v>
      </c>
      <c r="P5" s="8">
        <v>1.103</v>
      </c>
      <c r="Q5" s="8">
        <v>1.407</v>
      </c>
      <c r="R5" s="8">
        <v>1.77</v>
      </c>
      <c r="S5" s="8">
        <v>1.293</v>
      </c>
      <c r="T5" s="8">
        <v>0.7083</v>
      </c>
      <c r="U5" s="8">
        <v>1.013</v>
      </c>
      <c r="V5" s="8">
        <v>2</v>
      </c>
      <c r="W5" s="9">
        <v>1.23</v>
      </c>
      <c r="X5" s="6">
        <f>AVERAGE(C5:V5)</f>
        <v>1.35816</v>
      </c>
    </row>
    <row r="6" ht="40.5" spans="2:24">
      <c r="B6" s="7" t="s">
        <v>66</v>
      </c>
      <c r="C6" s="10">
        <v>16.9679027734497</v>
      </c>
      <c r="D6" s="10">
        <v>15.4097849797445</v>
      </c>
      <c r="E6" s="10">
        <v>6.25428482393269</v>
      </c>
      <c r="F6" s="10">
        <v>0.786070426924275</v>
      </c>
      <c r="G6" s="10">
        <v>100</v>
      </c>
      <c r="H6" s="10">
        <v>18.7363664693051</v>
      </c>
      <c r="I6" s="10">
        <v>2.41664069803677</v>
      </c>
      <c r="J6" s="10">
        <v>36.0314739794328</v>
      </c>
      <c r="K6" s="10">
        <v>2.06061078217513</v>
      </c>
      <c r="L6" s="10">
        <v>12.4337799937675</v>
      </c>
      <c r="M6" s="10">
        <v>18.5493923340605</v>
      </c>
      <c r="N6" s="10">
        <v>2.81318167653475</v>
      </c>
      <c r="O6" s="10">
        <v>7.93861015892802</v>
      </c>
      <c r="P6" s="10">
        <v>0.145684013711436</v>
      </c>
      <c r="Q6" s="10">
        <v>11.0081022125273</v>
      </c>
      <c r="R6" s="10">
        <v>28.8641321283889</v>
      </c>
      <c r="S6" s="10">
        <v>21.0423808039888</v>
      </c>
      <c r="T6" s="10">
        <v>6.92583359301963</v>
      </c>
      <c r="U6" s="10">
        <v>15.581177937052</v>
      </c>
      <c r="V6" s="10">
        <v>0</v>
      </c>
      <c r="W6" s="9">
        <v>23.15</v>
      </c>
      <c r="X6" s="6">
        <f>AVERAGE(C6:V6)</f>
        <v>16.198270489249</v>
      </c>
    </row>
    <row r="7" ht="17.6" spans="2:24">
      <c r="B7" s="11" t="s">
        <v>67</v>
      </c>
      <c r="C7" s="12">
        <v>1.55129585071722</v>
      </c>
      <c r="D7" s="12">
        <v>0.229584806994866</v>
      </c>
      <c r="E7" s="12">
        <v>0.42811979742152</v>
      </c>
      <c r="F7" s="12">
        <v>0.372155087474248</v>
      </c>
      <c r="G7" s="12">
        <v>0.637688893749127</v>
      </c>
      <c r="H7" s="12">
        <v>0.303369351661826</v>
      </c>
      <c r="I7" s="12">
        <v>0.476900853617866</v>
      </c>
      <c r="J7" s="12">
        <v>0.794925906477886</v>
      </c>
      <c r="K7" s="12">
        <v>0.448109478368224</v>
      </c>
      <c r="L7" s="12">
        <v>0.822596381206516</v>
      </c>
      <c r="M7" s="12">
        <v>0.973334443749977</v>
      </c>
      <c r="N7" s="12">
        <v>0.466743306043513</v>
      </c>
      <c r="O7" s="12">
        <v>0.738520486928994</v>
      </c>
      <c r="P7" s="12">
        <v>0.849146769410159</v>
      </c>
      <c r="Q7" s="12">
        <v>1.4802827809633</v>
      </c>
      <c r="R7" s="12">
        <v>0.370732606447743</v>
      </c>
      <c r="S7" s="12">
        <v>0.502864862448102</v>
      </c>
      <c r="T7" s="12">
        <v>0.472600166736754</v>
      </c>
      <c r="U7" s="12">
        <v>0.621329154946579</v>
      </c>
      <c r="V7" s="12">
        <v>0.431831468232085</v>
      </c>
      <c r="W7" s="13"/>
      <c r="X7" s="6"/>
    </row>
    <row r="8" ht="17.65" spans="2:24">
      <c r="B8" s="14" t="s">
        <v>68</v>
      </c>
      <c r="C8" s="15">
        <v>16.9679027734497</v>
      </c>
      <c r="D8" s="15">
        <v>15.4097849797445</v>
      </c>
      <c r="E8" s="15">
        <v>6.25428482393269</v>
      </c>
      <c r="F8" s="15">
        <v>0.786070426924275</v>
      </c>
      <c r="G8" s="15">
        <v>100</v>
      </c>
      <c r="H8" s="15">
        <v>18.7363664693051</v>
      </c>
      <c r="I8" s="15">
        <v>2.41664069803677</v>
      </c>
      <c r="J8" s="15">
        <v>36.0314739794328</v>
      </c>
      <c r="K8" s="15">
        <v>2.06061078217513</v>
      </c>
      <c r="L8" s="15">
        <v>12.4337799937675</v>
      </c>
      <c r="M8" s="15">
        <v>18.5493923340605</v>
      </c>
      <c r="N8" s="15">
        <v>2.81318167653475</v>
      </c>
      <c r="O8" s="15">
        <v>7.93861015892802</v>
      </c>
      <c r="P8" s="15">
        <v>0.145684013711436</v>
      </c>
      <c r="Q8" s="15">
        <v>11.0081022125273</v>
      </c>
      <c r="R8" s="15">
        <v>28.8641321283889</v>
      </c>
      <c r="S8" s="15">
        <v>21.0423808039888</v>
      </c>
      <c r="T8" s="15">
        <v>6.92583359301963</v>
      </c>
      <c r="U8" s="15">
        <v>15.581177937052</v>
      </c>
      <c r="V8" s="15">
        <v>0</v>
      </c>
      <c r="W8" s="9"/>
      <c r="X8" s="6"/>
    </row>
    <row r="9" ht="17.6" spans="2:24">
      <c r="B9" s="11" t="s">
        <v>69</v>
      </c>
      <c r="C9" s="12">
        <v>6.44622364932946</v>
      </c>
      <c r="D9" s="12">
        <v>43.5568891987859</v>
      </c>
      <c r="E9" s="12">
        <v>23.3579480795516</v>
      </c>
      <c r="F9" s="12">
        <v>26.8705180624246</v>
      </c>
      <c r="G9" s="12">
        <v>15.6816279819578</v>
      </c>
      <c r="H9" s="12">
        <v>32.9631188688674</v>
      </c>
      <c r="I9" s="12">
        <v>20.9687190201862</v>
      </c>
      <c r="J9" s="12">
        <v>12.5797887809538</v>
      </c>
      <c r="K9" s="12">
        <v>22.3159751862752</v>
      </c>
      <c r="L9" s="12">
        <v>12.1566301876174</v>
      </c>
      <c r="M9" s="12">
        <v>10.2739608818043</v>
      </c>
      <c r="N9" s="12">
        <v>21.4250528513584</v>
      </c>
      <c r="O9" s="12">
        <v>13.5405857751939</v>
      </c>
      <c r="P9" s="12">
        <v>11.7765271684968</v>
      </c>
      <c r="Q9" s="12">
        <v>6.75546600190301</v>
      </c>
      <c r="R9" s="12">
        <v>26.9736187917681</v>
      </c>
      <c r="S9" s="12">
        <v>19.8860583563483</v>
      </c>
      <c r="T9" s="12">
        <v>21.1595354886325</v>
      </c>
      <c r="U9" s="12">
        <v>16.0945288344948</v>
      </c>
      <c r="V9" s="12">
        <v>23.1571822242133</v>
      </c>
      <c r="W9" s="16"/>
      <c r="X9" s="6"/>
    </row>
    <row r="10" ht="17.65" spans="2:24">
      <c r="B10" s="14" t="s">
        <v>70</v>
      </c>
      <c r="C10" s="12">
        <v>23.4141264227791</v>
      </c>
      <c r="D10" s="12">
        <v>58.9666741785303</v>
      </c>
      <c r="E10" s="12">
        <v>29.6122329034842</v>
      </c>
      <c r="F10" s="12">
        <v>27.6565884893489</v>
      </c>
      <c r="G10" s="12">
        <v>115.681627981958</v>
      </c>
      <c r="H10" s="12">
        <v>51.6994853381725</v>
      </c>
      <c r="I10" s="12">
        <v>23.385359718223</v>
      </c>
      <c r="J10" s="12">
        <v>48.6112627603866</v>
      </c>
      <c r="K10" s="12">
        <v>24.3765859684503</v>
      </c>
      <c r="L10" s="12">
        <v>24.590410181385</v>
      </c>
      <c r="M10" s="12">
        <v>28.8233532158648</v>
      </c>
      <c r="N10" s="12">
        <v>24.2382345278931</v>
      </c>
      <c r="O10" s="12">
        <v>21.4791959341219</v>
      </c>
      <c r="P10" s="12">
        <v>11.9222111822082</v>
      </c>
      <c r="Q10" s="12">
        <v>17.7635682144303</v>
      </c>
      <c r="R10" s="12">
        <v>55.837750920157</v>
      </c>
      <c r="S10" s="12">
        <v>40.9284391603371</v>
      </c>
      <c r="T10" s="12">
        <v>28.0853690816522</v>
      </c>
      <c r="U10" s="12">
        <v>31.6757067715468</v>
      </c>
      <c r="V10" s="12">
        <v>23.1571822242133</v>
      </c>
      <c r="W10" s="17"/>
      <c r="X10" s="6"/>
    </row>
    <row r="11" ht="17.65" spans="2:24">
      <c r="B11" s="14" t="s">
        <v>71</v>
      </c>
      <c r="C11" s="12">
        <v>10.5216791241202</v>
      </c>
      <c r="D11" s="12">
        <v>-28.1471042190414</v>
      </c>
      <c r="E11" s="12">
        <v>-17.1036632556189</v>
      </c>
      <c r="F11" s="12">
        <v>-26.0844476355003</v>
      </c>
      <c r="G11" s="12">
        <v>84.3183720180422</v>
      </c>
      <c r="H11" s="12">
        <v>-14.2267523995624</v>
      </c>
      <c r="I11" s="12">
        <v>-18.5520783221495</v>
      </c>
      <c r="J11" s="12">
        <v>23.4516851984791</v>
      </c>
      <c r="K11" s="12">
        <v>-20.2553644041</v>
      </c>
      <c r="L11" s="12">
        <v>0.277149806150089</v>
      </c>
      <c r="M11" s="12">
        <v>8.27543145225616</v>
      </c>
      <c r="N11" s="12">
        <v>-18.6118711748236</v>
      </c>
      <c r="O11" s="12">
        <v>-5.60197561626588</v>
      </c>
      <c r="P11" s="12">
        <v>-11.6308431547853</v>
      </c>
      <c r="Q11" s="12">
        <v>4.25263621062425</v>
      </c>
      <c r="R11" s="12">
        <v>1.8905133366208</v>
      </c>
      <c r="S11" s="12">
        <v>1.15632244764049</v>
      </c>
      <c r="T11" s="12">
        <v>-14.2337018956129</v>
      </c>
      <c r="U11" s="12">
        <v>-0.513350897442749</v>
      </c>
      <c r="V11" s="12">
        <v>-23.1571822242133</v>
      </c>
      <c r="W11" s="17"/>
      <c r="X11" s="18"/>
    </row>
    <row r="12" ht="17.6" spans="2:24">
      <c r="B12" s="19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20"/>
      <c r="W12" s="18"/>
      <c r="X12" s="18"/>
    </row>
    <row r="13" ht="17.6" spans="2:24">
      <c r="B13" s="11" t="s">
        <v>72</v>
      </c>
      <c r="C13" s="12">
        <v>20.0686365885416</v>
      </c>
      <c r="D13" s="12">
        <v>0.281273794179275</v>
      </c>
      <c r="E13" s="12">
        <v>1.61339596716034</v>
      </c>
      <c r="F13" s="12">
        <v>2.35712184177182</v>
      </c>
      <c r="G13" s="12">
        <v>0.164192165952676</v>
      </c>
      <c r="H13" s="12">
        <v>0.353539795266937</v>
      </c>
      <c r="I13" s="12">
        <v>0.777382486050252</v>
      </c>
      <c r="J13" s="12">
        <v>266.24936019973</v>
      </c>
      <c r="K13" s="12">
        <v>10.3900470881885</v>
      </c>
      <c r="L13" s="12">
        <v>8.50135005846906</v>
      </c>
      <c r="M13" s="12">
        <v>1.84869305402069</v>
      </c>
      <c r="N13" s="12">
        <v>12.1343303602347</v>
      </c>
      <c r="O13" s="12">
        <v>0.912615528992143</v>
      </c>
      <c r="P13" s="12">
        <v>7.14014359203743</v>
      </c>
      <c r="Q13" s="12">
        <v>1.59513982245552</v>
      </c>
      <c r="R13" s="12">
        <v>1.15859204262802</v>
      </c>
      <c r="S13" s="12">
        <v>0.570961598656158</v>
      </c>
      <c r="T13" s="12">
        <v>2.14075798032135</v>
      </c>
      <c r="U13" s="12">
        <v>1.21042216837988</v>
      </c>
      <c r="V13" s="12">
        <v>0.791420802225618</v>
      </c>
      <c r="W13" s="17"/>
      <c r="X13" s="18"/>
    </row>
    <row r="14" ht="17.65" spans="2:24">
      <c r="B14" s="14" t="s">
        <v>73</v>
      </c>
      <c r="C14" s="15">
        <v>22.915836468906</v>
      </c>
      <c r="D14" s="15">
        <v>23.4141264227791</v>
      </c>
      <c r="E14" s="15">
        <v>23.4141264227791</v>
      </c>
      <c r="F14" s="15">
        <v>23.4141264227791</v>
      </c>
      <c r="G14" s="15">
        <v>23.4141264227791</v>
      </c>
      <c r="H14" s="15">
        <v>23.4141264227791</v>
      </c>
      <c r="I14" s="15">
        <v>10.5216791241202</v>
      </c>
      <c r="J14" s="15">
        <v>23.4141264227791</v>
      </c>
      <c r="K14" s="15">
        <v>23.4141264227791</v>
      </c>
      <c r="L14" s="15">
        <v>23.4141264227791</v>
      </c>
      <c r="M14" s="15">
        <v>23.4141264227791</v>
      </c>
      <c r="N14" s="15">
        <v>23.4141264227791</v>
      </c>
      <c r="O14" s="15">
        <v>10.5216791241202</v>
      </c>
      <c r="P14" s="15">
        <v>10.5216791241202</v>
      </c>
      <c r="Q14" s="15">
        <v>10.5216791241202</v>
      </c>
      <c r="R14" s="15">
        <v>10.5216791241202</v>
      </c>
      <c r="S14" s="15">
        <v>23.4141264227791</v>
      </c>
      <c r="T14" s="15">
        <v>23.4141264227791</v>
      </c>
      <c r="U14" s="15">
        <v>23.4141264227791</v>
      </c>
      <c r="V14" s="15">
        <v>10.5216791241202</v>
      </c>
      <c r="W14" s="18"/>
      <c r="X14" s="18"/>
    </row>
    <row r="15" ht="17.6" spans="2:24">
      <c r="B15" s="11" t="s">
        <v>74</v>
      </c>
      <c r="C15" s="12">
        <v>0.49828995387308</v>
      </c>
      <c r="D15" s="12">
        <v>35.5525477557512</v>
      </c>
      <c r="E15" s="12">
        <v>6.19810648070513</v>
      </c>
      <c r="F15" s="12">
        <v>4.24246206656976</v>
      </c>
      <c r="G15" s="12">
        <v>60.9042455952631</v>
      </c>
      <c r="H15" s="12">
        <v>28.2853589153934</v>
      </c>
      <c r="I15" s="12">
        <v>12.8636805941028</v>
      </c>
      <c r="J15" s="12">
        <v>0.0375587756999618</v>
      </c>
      <c r="K15" s="12">
        <v>0.962459545671177</v>
      </c>
      <c r="L15" s="12">
        <v>1.17628375860584</v>
      </c>
      <c r="M15" s="12">
        <v>5.40922679308562</v>
      </c>
      <c r="N15" s="12">
        <v>0.824108105113979</v>
      </c>
      <c r="O15" s="12">
        <v>10.9575168100017</v>
      </c>
      <c r="P15" s="12">
        <v>1.400532058088</v>
      </c>
      <c r="Q15" s="12">
        <v>6.26904291349596</v>
      </c>
      <c r="R15" s="12">
        <v>8.63116578749941</v>
      </c>
      <c r="S15" s="12">
        <v>17.5143127375579</v>
      </c>
      <c r="T15" s="12">
        <v>4.67124265887304</v>
      </c>
      <c r="U15" s="12">
        <v>8.26158034876771</v>
      </c>
      <c r="V15" s="12">
        <v>12.6355031000931</v>
      </c>
      <c r="W15" s="17"/>
      <c r="X15" s="18"/>
    </row>
    <row r="16" ht="17.65" spans="2:24">
      <c r="B16" s="14" t="s">
        <v>75</v>
      </c>
      <c r="C16" s="12">
        <v>23.4141264227791</v>
      </c>
      <c r="D16" s="12">
        <v>58.9666741785303</v>
      </c>
      <c r="E16" s="12">
        <v>29.6122329034842</v>
      </c>
      <c r="F16" s="12">
        <v>27.6565884893489</v>
      </c>
      <c r="G16" s="12">
        <v>84.3183720180422</v>
      </c>
      <c r="H16" s="12">
        <v>51.6994853381725</v>
      </c>
      <c r="I16" s="12">
        <v>23.385359718223</v>
      </c>
      <c r="J16" s="12">
        <v>23.4516851984791</v>
      </c>
      <c r="K16" s="12">
        <v>24.3765859684503</v>
      </c>
      <c r="L16" s="12">
        <v>24.590410181385</v>
      </c>
      <c r="M16" s="12">
        <v>28.8233532158648</v>
      </c>
      <c r="N16" s="12">
        <v>24.2382345278931</v>
      </c>
      <c r="O16" s="12">
        <v>21.4791959341219</v>
      </c>
      <c r="P16" s="12">
        <v>11.9222111822082</v>
      </c>
      <c r="Q16" s="12">
        <v>16.7907220376162</v>
      </c>
      <c r="R16" s="12">
        <v>19.1528449116196</v>
      </c>
      <c r="S16" s="12">
        <v>40.9284391603371</v>
      </c>
      <c r="T16" s="12">
        <v>28.0853690816522</v>
      </c>
      <c r="U16" s="12">
        <v>31.6757067715468</v>
      </c>
      <c r="V16" s="12">
        <v>23.1571822242133</v>
      </c>
      <c r="W16" s="17"/>
      <c r="X16" s="18"/>
    </row>
    <row r="17" ht="17.65" spans="2:24">
      <c r="B17" s="14" t="s">
        <v>76</v>
      </c>
      <c r="C17" s="12">
        <v>22.417546515033</v>
      </c>
      <c r="D17" s="12">
        <v>-12.1384213329721</v>
      </c>
      <c r="E17" s="12">
        <v>17.216019942074</v>
      </c>
      <c r="F17" s="12">
        <v>19.1716643562094</v>
      </c>
      <c r="G17" s="12">
        <v>-37.490119172484</v>
      </c>
      <c r="H17" s="12">
        <v>-4.87123249261426</v>
      </c>
      <c r="I17" s="12">
        <v>-2.34200146998258</v>
      </c>
      <c r="J17" s="12">
        <v>23.3765676470792</v>
      </c>
      <c r="K17" s="12">
        <v>22.4516668771079</v>
      </c>
      <c r="L17" s="12">
        <v>22.2378426641733</v>
      </c>
      <c r="M17" s="12">
        <v>18.0048996296935</v>
      </c>
      <c r="N17" s="12">
        <v>22.5900183176651</v>
      </c>
      <c r="O17" s="12">
        <v>-0.435837685881495</v>
      </c>
      <c r="P17" s="12">
        <v>9.12114706603221</v>
      </c>
      <c r="Q17" s="12">
        <v>4.25263621062425</v>
      </c>
      <c r="R17" s="12">
        <v>1.8905133366208</v>
      </c>
      <c r="S17" s="12">
        <v>5.89981368522118</v>
      </c>
      <c r="T17" s="12">
        <v>18.7428837639061</v>
      </c>
      <c r="U17" s="12">
        <v>15.1525460740114</v>
      </c>
      <c r="V17" s="12">
        <v>-2.11382397597293</v>
      </c>
      <c r="W17" s="18"/>
      <c r="X17" s="18"/>
    </row>
    <row r="18" ht="17.6" spans="2:24">
      <c r="B18" s="19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8"/>
      <c r="X18" s="18"/>
    </row>
    <row r="19" ht="17.6" spans="2:24">
      <c r="B19" s="11" t="s">
        <v>77</v>
      </c>
      <c r="C19" s="12">
        <v>266.249360199743</v>
      </c>
      <c r="D19" s="12">
        <v>0.281571254481228</v>
      </c>
      <c r="E19" s="12">
        <v>1.62323229667964</v>
      </c>
      <c r="F19" s="12">
        <v>2.37817597891329</v>
      </c>
      <c r="G19" s="12">
        <v>0.164293483390095</v>
      </c>
      <c r="H19" s="12">
        <v>0.35400986804449</v>
      </c>
      <c r="I19" s="12">
        <v>1137.38843059973</v>
      </c>
      <c r="J19" s="12">
        <v>4659.62307071575</v>
      </c>
      <c r="K19" s="12">
        <v>10.8119706726065</v>
      </c>
      <c r="L19" s="12">
        <v>8.78175165216912</v>
      </c>
      <c r="M19" s="12">
        <v>1.8616191409511</v>
      </c>
      <c r="N19" s="12">
        <v>12.7137607598624</v>
      </c>
      <c r="O19" s="12">
        <v>5.27044855349612</v>
      </c>
      <c r="P19" s="12">
        <v>0.873030277228469</v>
      </c>
      <c r="Q19" s="12">
        <v>1.51840789975874</v>
      </c>
      <c r="R19" s="12">
        <v>2.36757965101419</v>
      </c>
      <c r="S19" s="12">
        <v>0.572188635362404</v>
      </c>
      <c r="T19" s="12">
        <v>2.15811010248549</v>
      </c>
      <c r="U19" s="12">
        <v>1.21595011773173</v>
      </c>
      <c r="V19" s="12">
        <v>45.58187991422</v>
      </c>
      <c r="W19" s="18"/>
      <c r="X19" s="18"/>
    </row>
    <row r="20" ht="17.65" spans="2:24">
      <c r="B20" s="14" t="s">
        <v>78</v>
      </c>
      <c r="C20" s="15">
        <v>23.3765676470792</v>
      </c>
      <c r="D20" s="15">
        <v>23.4516851984791</v>
      </c>
      <c r="E20" s="15">
        <v>23.4516851984791</v>
      </c>
      <c r="F20" s="15">
        <v>23.4516851984791</v>
      </c>
      <c r="G20" s="15">
        <v>23.4516851984791</v>
      </c>
      <c r="H20" s="15">
        <v>23.4516851984791</v>
      </c>
      <c r="I20" s="15">
        <v>23.3765676470792</v>
      </c>
      <c r="J20" s="15">
        <v>23.3787137434153</v>
      </c>
      <c r="K20" s="15">
        <v>23.4516851984791</v>
      </c>
      <c r="L20" s="15">
        <v>23.4516851984791</v>
      </c>
      <c r="M20" s="15">
        <v>23.4516851984791</v>
      </c>
      <c r="N20" s="15">
        <v>23.4516851984791</v>
      </c>
      <c r="O20" s="15">
        <v>23.3765676470792</v>
      </c>
      <c r="P20" s="15">
        <v>23.3765676470792</v>
      </c>
      <c r="Q20" s="15">
        <v>23.3765676470792</v>
      </c>
      <c r="R20" s="15">
        <v>23.3765676470792</v>
      </c>
      <c r="S20" s="15">
        <v>23.4516851984791</v>
      </c>
      <c r="T20" s="15">
        <v>23.4516851984791</v>
      </c>
      <c r="U20" s="15">
        <v>23.4516851984791</v>
      </c>
      <c r="V20" s="15">
        <v>23.3765676470792</v>
      </c>
      <c r="W20" s="18"/>
      <c r="X20" s="18"/>
    </row>
    <row r="21" ht="17.6" spans="2:24">
      <c r="B21" s="11" t="s">
        <v>79</v>
      </c>
      <c r="C21" s="12">
        <v>0.03755877569996</v>
      </c>
      <c r="D21" s="12">
        <v>35.5149889800512</v>
      </c>
      <c r="E21" s="12">
        <v>6.16054770500517</v>
      </c>
      <c r="F21" s="12">
        <v>4.2049032908698</v>
      </c>
      <c r="G21" s="12">
        <v>60.8666868195631</v>
      </c>
      <c r="H21" s="12">
        <v>28.2478001396934</v>
      </c>
      <c r="I21" s="12">
        <v>0.0087920711438283</v>
      </c>
      <c r="J21" s="12">
        <v>0.0021460963361708</v>
      </c>
      <c r="K21" s="12">
        <v>0.924900769971217</v>
      </c>
      <c r="L21" s="12">
        <v>1.13872498290588</v>
      </c>
      <c r="M21" s="12">
        <v>5.37166801738566</v>
      </c>
      <c r="N21" s="12">
        <v>0.786549329414019</v>
      </c>
      <c r="O21" s="12">
        <v>1.89737171295725</v>
      </c>
      <c r="P21" s="12">
        <v>11.454356464871</v>
      </c>
      <c r="Q21" s="12">
        <v>6.585845609463</v>
      </c>
      <c r="R21" s="12">
        <v>4.22372273545954</v>
      </c>
      <c r="S21" s="12">
        <v>17.476753961858</v>
      </c>
      <c r="T21" s="12">
        <v>4.63368388317308</v>
      </c>
      <c r="U21" s="12">
        <v>8.22402157306775</v>
      </c>
      <c r="V21" s="12">
        <v>0.219385422865816</v>
      </c>
      <c r="W21" s="18"/>
      <c r="X21" s="18"/>
    </row>
    <row r="22" ht="17.65" spans="2:24">
      <c r="B22" s="14" t="s">
        <v>80</v>
      </c>
      <c r="C22" s="12">
        <v>23.4141264227791</v>
      </c>
      <c r="D22" s="12">
        <v>58.9666741785303</v>
      </c>
      <c r="E22" s="12">
        <v>29.6122329034842</v>
      </c>
      <c r="F22" s="12">
        <v>27.6565884893489</v>
      </c>
      <c r="G22" s="12">
        <v>84.3183720180422</v>
      </c>
      <c r="H22" s="12">
        <v>51.6994853381725</v>
      </c>
      <c r="I22" s="12">
        <v>23.385359718223</v>
      </c>
      <c r="J22" s="12">
        <v>23.3808598397515</v>
      </c>
      <c r="K22" s="12">
        <v>24.3765859684503</v>
      </c>
      <c r="L22" s="12">
        <v>24.590410181385</v>
      </c>
      <c r="M22" s="12">
        <v>28.8233532158648</v>
      </c>
      <c r="N22" s="12">
        <v>24.2382345278931</v>
      </c>
      <c r="O22" s="12">
        <v>25.2739393600364</v>
      </c>
      <c r="P22" s="12">
        <v>34.8309241119501</v>
      </c>
      <c r="Q22" s="12">
        <v>29.9624132565422</v>
      </c>
      <c r="R22" s="12">
        <v>27.6002903825387</v>
      </c>
      <c r="S22" s="12">
        <v>40.9284391603371</v>
      </c>
      <c r="T22" s="12">
        <v>28.0853690816522</v>
      </c>
      <c r="U22" s="12">
        <v>31.6757067715468</v>
      </c>
      <c r="V22" s="12">
        <v>23.595953069945</v>
      </c>
      <c r="W22" s="18"/>
      <c r="X22" s="18"/>
    </row>
    <row r="23" ht="17.65" spans="2:24">
      <c r="B23" s="14" t="s">
        <v>81</v>
      </c>
      <c r="C23" s="12">
        <v>23.3390088713792</v>
      </c>
      <c r="D23" s="12">
        <v>-12.0633037815722</v>
      </c>
      <c r="E23" s="12">
        <v>17.2911374934739</v>
      </c>
      <c r="F23" s="12">
        <v>19.2467819076093</v>
      </c>
      <c r="G23" s="12">
        <v>-37.4150016210841</v>
      </c>
      <c r="H23" s="12">
        <v>-4.79611494121434</v>
      </c>
      <c r="I23" s="12">
        <v>23.3677755759353</v>
      </c>
      <c r="J23" s="12">
        <v>23.3765676470792</v>
      </c>
      <c r="K23" s="12">
        <v>22.5267844285079</v>
      </c>
      <c r="L23" s="12">
        <v>22.3129602155732</v>
      </c>
      <c r="M23" s="12">
        <v>18.0800171810934</v>
      </c>
      <c r="N23" s="12">
        <v>22.6651358690651</v>
      </c>
      <c r="O23" s="12">
        <v>21.4791959341219</v>
      </c>
      <c r="P23" s="12">
        <v>11.9222111822082</v>
      </c>
      <c r="Q23" s="12">
        <v>16.7907220376162</v>
      </c>
      <c r="R23" s="12">
        <v>19.1528449116196</v>
      </c>
      <c r="S23" s="12">
        <v>5.9749312366211</v>
      </c>
      <c r="T23" s="12">
        <v>18.818001315306</v>
      </c>
      <c r="U23" s="12">
        <v>15.2276636254113</v>
      </c>
      <c r="V23" s="12">
        <v>23.1571822242133</v>
      </c>
      <c r="W23" s="18"/>
      <c r="X23" s="18"/>
    </row>
    <row r="24" spans="2:24"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8"/>
      <c r="X24" s="18"/>
    </row>
    <row r="25" ht="17.6" spans="2:24">
      <c r="B25" s="11" t="s">
        <v>82</v>
      </c>
      <c r="C25" s="12">
        <v>300.601958178175</v>
      </c>
      <c r="D25" s="12">
        <v>0.282133896763299</v>
      </c>
      <c r="E25" s="12">
        <v>1.64211099149908</v>
      </c>
      <c r="F25" s="12">
        <v>2.41891908283842</v>
      </c>
      <c r="G25" s="12">
        <v>0.164484880380254</v>
      </c>
      <c r="H25" s="12">
        <v>0.354899703667096</v>
      </c>
      <c r="I25" s="12">
        <v>2222.28223792192</v>
      </c>
      <c r="J25" s="21">
        <v>1125899906842620</v>
      </c>
      <c r="K25" s="12">
        <v>11.7085679652559</v>
      </c>
      <c r="L25" s="12">
        <v>9.36417597084044</v>
      </c>
      <c r="M25" s="12">
        <v>1.88649251523559</v>
      </c>
      <c r="N25" s="12">
        <v>13.9718668223578</v>
      </c>
      <c r="O25" s="12">
        <v>5.28239827901945</v>
      </c>
      <c r="P25" s="12">
        <v>0.87335754300354</v>
      </c>
      <c r="Q25" s="12">
        <v>1.51939813699427</v>
      </c>
      <c r="R25" s="12">
        <v>2.36998805848202</v>
      </c>
      <c r="S25" s="12">
        <v>0.574516891802115</v>
      </c>
      <c r="T25" s="12">
        <v>2.19160860377876</v>
      </c>
      <c r="U25" s="12">
        <v>1.22651285914248</v>
      </c>
      <c r="V25" s="12">
        <v>46.4914678672356</v>
      </c>
      <c r="W25" s="18"/>
      <c r="X25" s="18"/>
    </row>
    <row r="26" ht="20.25" spans="2:24">
      <c r="B26" s="14" t="s">
        <v>83</v>
      </c>
      <c r="C26" s="15">
        <v>23.3808598397515</v>
      </c>
      <c r="D26" s="15">
        <v>23.3808598397515</v>
      </c>
      <c r="E26" s="15">
        <v>23.3808598397515</v>
      </c>
      <c r="F26" s="15">
        <v>23.3808598397515</v>
      </c>
      <c r="G26" s="15">
        <v>23.3808598397515</v>
      </c>
      <c r="H26" s="15">
        <v>23.3808598397515</v>
      </c>
      <c r="I26" s="15">
        <v>23.3808598397515</v>
      </c>
      <c r="J26" s="22">
        <v>23.3808598397515</v>
      </c>
      <c r="K26" s="15">
        <v>23.3808598397515</v>
      </c>
      <c r="L26" s="15">
        <v>23.3808598397515</v>
      </c>
      <c r="M26" s="15">
        <v>23.3808598397515</v>
      </c>
      <c r="N26" s="15">
        <v>23.3808598397515</v>
      </c>
      <c r="O26" s="15">
        <v>23.3808598397515</v>
      </c>
      <c r="P26" s="15">
        <v>23.3808598397515</v>
      </c>
      <c r="Q26" s="15">
        <v>23.3808598397515</v>
      </c>
      <c r="R26" s="15">
        <v>23.3808598397515</v>
      </c>
      <c r="S26" s="15">
        <v>23.3808598397515</v>
      </c>
      <c r="T26" s="15">
        <v>23.3808598397515</v>
      </c>
      <c r="U26" s="15">
        <v>23.3808598397515</v>
      </c>
      <c r="V26" s="15">
        <v>23.3808598397515</v>
      </c>
      <c r="W26" s="23"/>
      <c r="X26" s="18"/>
    </row>
    <row r="27" ht="17.6" spans="2:24">
      <c r="B27" s="11" t="s">
        <v>84</v>
      </c>
      <c r="C27" s="12">
        <v>0.033266583027622</v>
      </c>
      <c r="D27" s="12">
        <v>35.4441636213237</v>
      </c>
      <c r="E27" s="12">
        <v>6.08972234627758</v>
      </c>
      <c r="F27" s="12">
        <v>4.13407793214222</v>
      </c>
      <c r="G27" s="12">
        <v>60.7958614608356</v>
      </c>
      <c r="H27" s="12">
        <v>28.1769747809658</v>
      </c>
      <c r="I27" s="12">
        <v>0.00449987847149025</v>
      </c>
      <c r="J27" s="24">
        <v>8.88178419700125e-15</v>
      </c>
      <c r="K27" s="12">
        <v>0.854075411243635</v>
      </c>
      <c r="L27" s="12">
        <v>1.0678996241783</v>
      </c>
      <c r="M27" s="12">
        <v>5.30084265865808</v>
      </c>
      <c r="N27" s="12">
        <v>0.715723970686437</v>
      </c>
      <c r="O27" s="12">
        <v>1.89307952028491</v>
      </c>
      <c r="P27" s="12">
        <v>11.4500642721986</v>
      </c>
      <c r="Q27" s="12">
        <v>6.58155341679066</v>
      </c>
      <c r="R27" s="12">
        <v>4.2194305427872</v>
      </c>
      <c r="S27" s="12">
        <v>17.4059286031304</v>
      </c>
      <c r="T27" s="12">
        <v>4.5628585244455</v>
      </c>
      <c r="U27" s="12">
        <v>8.15319621434016</v>
      </c>
      <c r="V27" s="12">
        <v>0.215093230193478</v>
      </c>
      <c r="W27" s="18"/>
      <c r="X27" s="18"/>
    </row>
  </sheetData>
  <mergeCells count="1">
    <mergeCell ref="B3:X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Wants Young</cp:lastModifiedBy>
  <dcterms:created xsi:type="dcterms:W3CDTF">2015-06-05T18:19:00Z</dcterms:created>
  <dcterms:modified xsi:type="dcterms:W3CDTF">2025-11-13T15:48:10Z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61A1846A287948EC821BA36AACEB189B_12</vt:lpwstr>
  </property>
  <property fmtid="{D5CDD505-2E9C-101B-9397-08002B2CF9AE}" pid="3" name="KSOProductBuildVer">
    <vt:lpwstr>2052-12.1.0.23542</vt:lpwstr>
  </property>
</Properties>
</file>