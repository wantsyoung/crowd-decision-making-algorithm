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4" sheetId="4" r:id="rId1"/>
    <sheet name="Sheet1" sheetId="1" r:id="rId2"/>
    <sheet name="Sheet2" sheetId="2" r:id="rId3"/>
    <sheet name="Sheet3" sheetId="3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<sst xmlns="http://schemas.openxmlformats.org/spreadsheetml/2006/main" count="181" uniqueCount="86">
  <si>
    <t>QUE.1</t>
  </si>
  <si>
    <t>QUE.2</t>
  </si>
  <si>
    <t>QUE.3</t>
  </si>
  <si>
    <t>QUE.4</t>
  </si>
  <si>
    <t>QUE.5</t>
  </si>
  <si>
    <t>QUE.6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</si>
  <si>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</si>
  <si>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</si>
  <si>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</si>
  <si>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</si>
  <si>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</si>
  <si>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</si>
  <si>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</si>
  <si>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</si>
  <si>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</si>
  <si>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</si>
  <si>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</si>
  <si>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</si>
  <si>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</si>
  <si>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</si>
  <si>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EXPERT15</t>
  </si>
  <si>
    <t>EXPERT16</t>
  </si>
  <si>
    <t>EXPERT17</t>
  </si>
  <si>
    <t>EXPERT18</t>
  </si>
  <si>
    <t>EXPERT19</t>
  </si>
  <si>
    <t>EXPERT20</t>
  </si>
  <si>
    <t>EXPERT21</t>
  </si>
  <si>
    <t>EXPERT22</t>
  </si>
  <si>
    <t>EXPERT23</t>
  </si>
  <si>
    <t>EXPERT24</t>
  </si>
  <si>
    <t>EXPERT25</t>
  </si>
  <si>
    <t>EXPERT26</t>
  </si>
  <si>
    <t>EXPERT27</t>
  </si>
  <si>
    <t>EXPERT28</t>
  </si>
  <si>
    <t>EXPERT29</t>
  </si>
  <si>
    <t>EXPERT30</t>
  </si>
  <si>
    <t>最少</t>
  </si>
  <si>
    <t>最多</t>
  </si>
  <si>
    <t>最可能</t>
  </si>
  <si>
    <t>答案范围</t>
  </si>
  <si>
    <t>偏差</t>
  </si>
  <si>
    <t>标准答案</t>
  </si>
  <si>
    <t>总表现</t>
  </si>
  <si>
    <t>种子表现</t>
  </si>
  <si>
    <t>熟悉度</t>
  </si>
  <si>
    <t>一</t>
  </si>
  <si>
    <t>二</t>
  </si>
  <si>
    <t>三</t>
  </si>
  <si>
    <t>四</t>
  </si>
  <si>
    <t>五</t>
  </si>
  <si>
    <t>六</t>
  </si>
  <si>
    <t>七</t>
  </si>
  <si>
    <t>范围</t>
  </si>
  <si>
    <t>奖励</t>
  </si>
  <si>
    <t>正确</t>
  </si>
  <si>
    <t>Intelligence</t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</si>
  <si>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X.1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</si>
  <si>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X.2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</si>
  <si>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X.3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</si>
  <si>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X.4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</si>
  <si>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X.5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</si>
  <si>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X.6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</si>
  <si>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X.7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</si>
  <si>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X.8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</si>
  <si>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X.9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</si>
  <si>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X.10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</si>
  <si>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X.11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</si>
  <si>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X.12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</si>
  <si>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X.13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</si>
  <si>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X.14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</si>
  <si>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X.15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</si>
  <si>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X.16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</si>
  <si>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X.17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</si>
  <si>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X.18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</si>
  <si>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X.19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</si>
  <si>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X.20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</si>
  <si>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X.21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</si>
  <si>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X.22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</si>
  <si>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X.23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</si>
  <si>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X.24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</si>
  <si>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X.25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</si>
  <si>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X.26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</si>
  <si>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X.27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</si>
  <si>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X.28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</si>
  <si>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X.29</t>
    </r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</si>
  <si>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X.30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</si>
</sst>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1" applyNumberFormat="0" applyFill="0" applyAlignment="0" applyProtection="0">
      <alignment vertical="center"/>
    </xf>
    <xf numFmtId="0" fontId="10" fillId="0" borderId="41" applyNumberFormat="0" applyFill="0" applyAlignment="0" applyProtection="0">
      <alignment vertical="center"/>
    </xf>
    <xf numFmtId="0" fontId="11" fillId="0" borderId="4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3" applyNumberFormat="0" applyAlignment="0" applyProtection="0">
      <alignment vertical="center"/>
    </xf>
    <xf numFmtId="0" fontId="13" fillId="8" borderId="44" applyNumberFormat="0" applyAlignment="0" applyProtection="0">
      <alignment vertical="center"/>
    </xf>
    <xf numFmtId="0" fontId="14" fillId="8" borderId="43" applyNumberFormat="0" applyAlignment="0" applyProtection="0">
      <alignment vertical="center"/>
    </xf>
    <xf numFmtId="0" fontId="15" fillId="9" borderId="45" applyNumberFormat="0" applyAlignment="0" applyProtection="0">
      <alignment vertical="center"/>
    </xf>
    <xf numFmtId="0" fontId="16" fillId="0" borderId="46" applyNumberFormat="0" applyFill="0" applyAlignment="0" applyProtection="0">
      <alignment vertical="center"/>
    </xf>
    <xf numFmtId="0" fontId="17" fillId="0" borderId="47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NumberFormat="1"/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4" xfId="0" applyFill="1" applyBorder="1" applyAlignment="1">
      <alignment horizontal="center" vertical="center"/>
    </xf>
    <xf numFmtId="176" fontId="0" fillId="0" borderId="0" xfId="0" applyNumberFormat="1"/>
    <xf numFmtId="176" fontId="0" fillId="0" borderId="0" xfId="0" applyNumberForma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Font="1" applyBorder="1"/>
    <xf numFmtId="176" fontId="0" fillId="0" borderId="9" xfId="0" applyNumberFormat="1" applyFill="1" applyBorder="1" applyAlignment="1">
      <alignment horizontal="center" vertical="center"/>
    </xf>
    <xf numFmtId="176" fontId="0" fillId="0" borderId="9" xfId="0" applyNumberFormat="1" applyBorder="1" applyAlignment="1">
      <alignment horizontal="center"/>
    </xf>
    <xf numFmtId="176" fontId="0" fillId="0" borderId="9" xfId="0" applyNumberFormat="1" applyFill="1" applyBorder="1" applyAlignment="1">
      <alignment horizontal="center"/>
    </xf>
    <xf numFmtId="176" fontId="0" fillId="0" borderId="10" xfId="0" applyNumberFormat="1" applyFill="1" applyBorder="1" applyAlignment="1">
      <alignment horizontal="center"/>
    </xf>
    <xf numFmtId="176" fontId="0" fillId="0" borderId="8" xfId="0" applyNumberFormat="1" applyBorder="1" applyAlignment="1">
      <alignment horizontal="center"/>
    </xf>
    <xf numFmtId="176" fontId="0" fillId="0" borderId="10" xfId="0" applyNumberFormat="1" applyBorder="1" applyAlignment="1">
      <alignment horizontal="center"/>
    </xf>
    <xf numFmtId="0" fontId="0" fillId="0" borderId="11" xfId="0" applyFont="1" applyBorder="1"/>
    <xf numFmtId="176" fontId="0" fillId="0" borderId="0" xfId="0" applyNumberForma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/>
    </xf>
    <xf numFmtId="176" fontId="0" fillId="0" borderId="12" xfId="0" applyNumberFormat="1" applyFill="1" applyBorder="1" applyAlignment="1">
      <alignment horizontal="center" vertical="center"/>
    </xf>
    <xf numFmtId="176" fontId="0" fillId="0" borderId="11" xfId="0" applyNumberFormat="1" applyBorder="1" applyAlignment="1">
      <alignment horizontal="center"/>
    </xf>
    <xf numFmtId="176" fontId="0" fillId="0" borderId="12" xfId="0" applyNumberFormat="1" applyBorder="1" applyAlignment="1">
      <alignment horizontal="center"/>
    </xf>
    <xf numFmtId="176" fontId="0" fillId="0" borderId="0" xfId="0" applyNumberFormat="1" applyFill="1" applyBorder="1" applyAlignment="1">
      <alignment horizontal="center"/>
    </xf>
    <xf numFmtId="176" fontId="0" fillId="0" borderId="12" xfId="0" applyNumberFormat="1" applyFill="1" applyBorder="1" applyAlignment="1">
      <alignment horizontal="center"/>
    </xf>
    <xf numFmtId="0" fontId="0" fillId="0" borderId="13" xfId="0" applyFont="1" applyBorder="1"/>
    <xf numFmtId="176" fontId="0" fillId="0" borderId="14" xfId="0" applyNumberFormat="1" applyBorder="1" applyAlignment="1">
      <alignment horizontal="center"/>
    </xf>
    <xf numFmtId="176" fontId="0" fillId="0" borderId="15" xfId="0" applyNumberFormat="1" applyBorder="1" applyAlignment="1">
      <alignment horizontal="center"/>
    </xf>
    <xf numFmtId="176" fontId="0" fillId="0" borderId="13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2" borderId="27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5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workbookViewId="0">
      <selection activeCell="A2" sqref="A2:A31"/>
    </sheetView>
  </sheetViews>
  <sheetFormatPr defaultColWidth="9" defaultRowHeight="13.85" outlineLevelCol="6"/>
  <cols>
    <col min="3" max="3" width="9.07079646017699" style="7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s="1">
        <v>9.32</v>
      </c>
      <c r="C2" s="3">
        <v>17</v>
      </c>
      <c r="D2" s="5">
        <v>12</v>
      </c>
      <c r="E2" s="6">
        <v>6</v>
      </c>
      <c r="F2" s="5">
        <v>2.3</v>
      </c>
      <c r="G2" s="5">
        <v>12</v>
      </c>
    </row>
    <row r="3" spans="1:7">
      <c r="A3" t="s">
        <v>7</v>
      </c>
      <c r="B3" s="1">
        <v>9.2</v>
      </c>
      <c r="C3" s="1">
        <v>17</v>
      </c>
      <c r="D3" s="9">
        <v>13</v>
      </c>
      <c r="E3" s="1">
        <v>8</v>
      </c>
      <c r="F3" s="1">
        <v>3</v>
      </c>
      <c r="G3" s="9">
        <v>12</v>
      </c>
    </row>
    <row r="4" spans="1:7">
      <c r="A4" t="s">
        <v>8</v>
      </c>
      <c r="B4" s="1">
        <v>9.58</v>
      </c>
      <c r="C4" s="1">
        <v>16</v>
      </c>
      <c r="D4" s="10">
        <v>19</v>
      </c>
      <c r="E4" s="1">
        <v>7</v>
      </c>
      <c r="F4" s="10">
        <v>4.5</v>
      </c>
      <c r="G4" s="1">
        <v>20</v>
      </c>
    </row>
    <row r="5" spans="1:7">
      <c r="A5" t="s">
        <v>9</v>
      </c>
      <c r="B5" s="3">
        <v>9.79</v>
      </c>
      <c r="C5" s="3">
        <v>22</v>
      </c>
      <c r="D5" s="1">
        <v>15</v>
      </c>
      <c r="E5" s="1">
        <v>5</v>
      </c>
      <c r="F5" s="9">
        <v>4</v>
      </c>
      <c r="G5" s="9">
        <v>12</v>
      </c>
    </row>
    <row r="6" spans="1:7">
      <c r="A6" t="s">
        <v>10</v>
      </c>
      <c r="B6" s="9">
        <v>8.9</v>
      </c>
      <c r="C6" s="1">
        <v>18</v>
      </c>
      <c r="D6" s="9">
        <v>5.79</v>
      </c>
      <c r="E6" s="1">
        <v>6</v>
      </c>
      <c r="F6" s="1">
        <v>2.5</v>
      </c>
      <c r="G6" s="9">
        <v>9</v>
      </c>
    </row>
    <row r="7" spans="1:7">
      <c r="A7" t="s">
        <v>11</v>
      </c>
      <c r="B7" s="1">
        <v>9.8</v>
      </c>
      <c r="C7" s="3">
        <v>22</v>
      </c>
      <c r="D7" s="9">
        <v>10</v>
      </c>
      <c r="E7" s="3">
        <v>15</v>
      </c>
      <c r="F7" s="1">
        <v>3</v>
      </c>
      <c r="G7" s="9">
        <v>8</v>
      </c>
    </row>
    <row r="8" spans="1:7">
      <c r="A8" t="s">
        <v>12</v>
      </c>
      <c r="B8" s="10">
        <v>8</v>
      </c>
      <c r="C8" s="3">
        <v>15</v>
      </c>
      <c r="D8" s="1">
        <v>15</v>
      </c>
      <c r="E8" s="1">
        <v>7</v>
      </c>
      <c r="F8" s="10">
        <v>6</v>
      </c>
      <c r="G8" s="1">
        <v>20</v>
      </c>
    </row>
    <row r="9" spans="1:7">
      <c r="A9" t="s">
        <v>13</v>
      </c>
      <c r="B9" s="1">
        <v>9.7</v>
      </c>
      <c r="C9" s="1">
        <v>20</v>
      </c>
      <c r="D9" s="10">
        <v>9</v>
      </c>
      <c r="E9" s="1">
        <v>4</v>
      </c>
      <c r="F9" s="10">
        <v>3</v>
      </c>
      <c r="G9" s="10">
        <v>12</v>
      </c>
    </row>
    <row r="10" spans="1:7">
      <c r="A10" t="s">
        <v>14</v>
      </c>
      <c r="B10" s="1">
        <v>9.18</v>
      </c>
      <c r="C10" s="3">
        <v>34</v>
      </c>
      <c r="D10" s="10">
        <v>2.23</v>
      </c>
      <c r="E10" s="10">
        <v>41</v>
      </c>
      <c r="F10" s="1">
        <v>2.2</v>
      </c>
      <c r="G10" s="10">
        <v>12</v>
      </c>
    </row>
    <row r="11" spans="1:7">
      <c r="A11" t="s">
        <v>15</v>
      </c>
      <c r="B11" s="3">
        <v>6.5</v>
      </c>
      <c r="C11" s="1">
        <v>22</v>
      </c>
      <c r="D11" s="1">
        <v>20</v>
      </c>
      <c r="E11" s="3">
        <v>10</v>
      </c>
      <c r="F11" s="9">
        <v>2</v>
      </c>
      <c r="G11" s="10">
        <v>8</v>
      </c>
    </row>
    <row r="12" spans="1:7">
      <c r="A12" t="s">
        <v>16</v>
      </c>
      <c r="B12" s="1">
        <v>9.58</v>
      </c>
      <c r="C12" s="1">
        <v>20</v>
      </c>
      <c r="D12" s="10">
        <v>50</v>
      </c>
      <c r="E12" s="1">
        <v>6</v>
      </c>
      <c r="F12" s="10">
        <v>1.8</v>
      </c>
      <c r="G12" s="1">
        <v>14</v>
      </c>
    </row>
    <row r="13" spans="1:7">
      <c r="A13" t="s">
        <v>17</v>
      </c>
      <c r="B13" s="10">
        <v>9.68</v>
      </c>
      <c r="C13" s="3">
        <v>20</v>
      </c>
      <c r="D13" s="10">
        <v>12</v>
      </c>
      <c r="E13" s="3">
        <v>6</v>
      </c>
      <c r="F13" s="1">
        <v>3</v>
      </c>
      <c r="G13" s="1">
        <v>8</v>
      </c>
    </row>
    <row r="14" spans="1:7">
      <c r="A14" t="s">
        <v>18</v>
      </c>
      <c r="B14" s="1">
        <v>8.9</v>
      </c>
      <c r="C14" s="10">
        <v>12</v>
      </c>
      <c r="D14" s="10">
        <v>13</v>
      </c>
      <c r="E14" s="1">
        <v>5</v>
      </c>
      <c r="F14" s="1">
        <v>2</v>
      </c>
      <c r="G14" s="10">
        <v>12</v>
      </c>
    </row>
    <row r="15" spans="1:7">
      <c r="A15" t="s">
        <v>19</v>
      </c>
      <c r="B15" s="1">
        <v>9.73</v>
      </c>
      <c r="C15" s="1">
        <v>15</v>
      </c>
      <c r="D15" s="10">
        <v>8.5</v>
      </c>
      <c r="E15" s="10">
        <v>2</v>
      </c>
      <c r="F15" s="10">
        <v>3.25</v>
      </c>
      <c r="G15" s="10">
        <v>3</v>
      </c>
    </row>
    <row r="16" spans="1:7">
      <c r="A16" t="s">
        <v>20</v>
      </c>
      <c r="B16" s="10">
        <v>9.05</v>
      </c>
      <c r="C16" s="10">
        <v>9</v>
      </c>
      <c r="D16" s="10">
        <v>12.37</v>
      </c>
      <c r="E16" s="1">
        <v>4</v>
      </c>
      <c r="F16" s="10">
        <v>2.1</v>
      </c>
      <c r="G16" s="1">
        <v>20</v>
      </c>
    </row>
    <row r="17" spans="1:7">
      <c r="A17" t="s">
        <v>21</v>
      </c>
      <c r="B17" s="10">
        <v>9.68</v>
      </c>
      <c r="C17" s="1">
        <v>18</v>
      </c>
      <c r="D17" s="10">
        <v>10</v>
      </c>
      <c r="E17" s="1">
        <v>5</v>
      </c>
      <c r="F17" s="10">
        <v>2.2</v>
      </c>
      <c r="G17" s="10">
        <v>10</v>
      </c>
    </row>
    <row r="18" spans="1:7">
      <c r="A18" t="s">
        <v>22</v>
      </c>
      <c r="B18" s="1">
        <v>9.58</v>
      </c>
      <c r="C18" s="10">
        <v>18</v>
      </c>
      <c r="D18" s="1">
        <v>30</v>
      </c>
      <c r="E18" s="10">
        <v>4</v>
      </c>
      <c r="F18" s="10">
        <v>3.8</v>
      </c>
      <c r="G18" s="10">
        <v>12</v>
      </c>
    </row>
    <row r="19" spans="1:7">
      <c r="A19" t="s">
        <v>23</v>
      </c>
      <c r="B19" s="1">
        <v>9.58</v>
      </c>
      <c r="C19" s="1">
        <v>20</v>
      </c>
      <c r="D19" s="10">
        <v>60</v>
      </c>
      <c r="E19" s="10">
        <v>11</v>
      </c>
      <c r="F19" s="1">
        <v>3.8</v>
      </c>
      <c r="G19" s="10">
        <v>25</v>
      </c>
    </row>
    <row r="20" spans="1:7">
      <c r="A20" t="s">
        <v>24</v>
      </c>
      <c r="B20" s="9">
        <v>9.69</v>
      </c>
      <c r="C20" s="9">
        <v>8</v>
      </c>
      <c r="D20" s="9">
        <v>22.19</v>
      </c>
      <c r="E20" s="1">
        <v>6</v>
      </c>
      <c r="F20" s="9">
        <v>3.6</v>
      </c>
      <c r="G20" s="1">
        <v>13</v>
      </c>
    </row>
    <row r="21" spans="1:7">
      <c r="A21" t="s">
        <v>25</v>
      </c>
      <c r="B21" s="9">
        <v>9.63</v>
      </c>
      <c r="C21" s="1">
        <v>20</v>
      </c>
      <c r="D21" s="9">
        <v>9.63</v>
      </c>
      <c r="E21" s="1">
        <v>4</v>
      </c>
      <c r="F21" s="9">
        <v>4.3</v>
      </c>
      <c r="G21" s="9">
        <v>12</v>
      </c>
    </row>
    <row r="22" spans="1:7">
      <c r="A22" t="s">
        <v>26</v>
      </c>
      <c r="B22" s="9">
        <v>9.61</v>
      </c>
      <c r="C22" s="1">
        <v>17</v>
      </c>
      <c r="D22" s="9">
        <v>7.12</v>
      </c>
      <c r="E22" s="1">
        <v>7</v>
      </c>
      <c r="F22" s="9">
        <v>2.6</v>
      </c>
      <c r="G22" s="9">
        <v>12</v>
      </c>
    </row>
    <row r="23" spans="1:7">
      <c r="A23" t="s">
        <v>27</v>
      </c>
      <c r="B23" s="10">
        <v>9.8</v>
      </c>
      <c r="C23" s="1">
        <v>21</v>
      </c>
      <c r="D23" s="10">
        <v>17.5</v>
      </c>
      <c r="E23" s="10">
        <v>8</v>
      </c>
      <c r="F23" s="10">
        <v>2.3</v>
      </c>
      <c r="G23" s="1">
        <v>17</v>
      </c>
    </row>
    <row r="24" spans="1:7">
      <c r="A24" t="s">
        <v>28</v>
      </c>
      <c r="B24" s="10">
        <v>9.72</v>
      </c>
      <c r="C24" s="10">
        <v>8</v>
      </c>
      <c r="D24" s="10">
        <v>13</v>
      </c>
      <c r="E24" s="1">
        <v>4</v>
      </c>
      <c r="F24" s="1">
        <v>3.2</v>
      </c>
      <c r="G24" s="10">
        <v>12</v>
      </c>
    </row>
    <row r="25" spans="1:7">
      <c r="A25" t="s">
        <v>29</v>
      </c>
      <c r="B25" s="10">
        <v>9.72</v>
      </c>
      <c r="C25" s="1">
        <v>18</v>
      </c>
      <c r="D25" s="10">
        <v>30</v>
      </c>
      <c r="E25" s="1">
        <v>4</v>
      </c>
      <c r="F25" s="10">
        <v>2.3</v>
      </c>
      <c r="G25" s="10">
        <v>10</v>
      </c>
    </row>
    <row r="26" spans="1:7">
      <c r="A26" t="s">
        <v>30</v>
      </c>
      <c r="B26" s="1">
        <v>9.5</v>
      </c>
      <c r="C26" s="10">
        <v>8</v>
      </c>
      <c r="D26" s="10">
        <v>8.01</v>
      </c>
      <c r="E26" s="10">
        <v>25</v>
      </c>
      <c r="F26" s="1">
        <v>3</v>
      </c>
      <c r="G26" s="10">
        <v>25</v>
      </c>
    </row>
    <row r="27" spans="1:7">
      <c r="A27" t="s">
        <v>31</v>
      </c>
      <c r="B27" s="1">
        <v>9.43</v>
      </c>
      <c r="C27" s="1">
        <v>16</v>
      </c>
      <c r="D27" s="9">
        <v>5</v>
      </c>
      <c r="E27" s="9">
        <v>4</v>
      </c>
      <c r="F27" s="9">
        <v>3.2</v>
      </c>
      <c r="G27" s="9">
        <v>10</v>
      </c>
    </row>
    <row r="28" spans="1:7">
      <c r="A28" t="s">
        <v>32</v>
      </c>
      <c r="B28" s="10">
        <v>8.97</v>
      </c>
      <c r="C28" s="1">
        <v>22</v>
      </c>
      <c r="D28" s="10">
        <v>13.07</v>
      </c>
      <c r="E28" s="10">
        <v>13</v>
      </c>
      <c r="F28" s="10">
        <v>1.7</v>
      </c>
      <c r="G28" s="10">
        <v>12</v>
      </c>
    </row>
    <row r="29" spans="1:7">
      <c r="A29" t="s">
        <v>33</v>
      </c>
      <c r="B29" s="10">
        <v>10.83</v>
      </c>
      <c r="C29" s="10">
        <v>12</v>
      </c>
      <c r="D29" s="10">
        <v>13.28</v>
      </c>
      <c r="E29" s="10">
        <v>13</v>
      </c>
      <c r="F29" s="10">
        <v>2.4</v>
      </c>
      <c r="G29" s="1">
        <v>16</v>
      </c>
    </row>
    <row r="30" spans="1:7">
      <c r="A30" t="s">
        <v>34</v>
      </c>
      <c r="B30" s="9">
        <v>6.12</v>
      </c>
      <c r="C30" s="9">
        <v>12</v>
      </c>
      <c r="D30" s="9">
        <v>7.21</v>
      </c>
      <c r="E30" s="9">
        <v>19</v>
      </c>
      <c r="F30" s="9">
        <v>14</v>
      </c>
      <c r="G30" s="9">
        <v>8</v>
      </c>
    </row>
    <row r="31" spans="1:7">
      <c r="A31" t="s">
        <v>35</v>
      </c>
      <c r="B31" s="10">
        <v>9.96</v>
      </c>
      <c r="C31" s="10">
        <v>33</v>
      </c>
      <c r="D31" s="10">
        <v>3.98</v>
      </c>
      <c r="E31" s="10">
        <v>97</v>
      </c>
      <c r="F31" s="10">
        <v>2.4</v>
      </c>
      <c r="G31" s="10">
        <v>8</v>
      </c>
    </row>
    <row r="32" spans="1:7">
      <c r="B32" s="94">
        <v>9.58</v>
      </c>
      <c r="C32" s="7">
        <v>20</v>
      </c>
      <c r="D32" s="94">
        <v>20.91</v>
      </c>
      <c r="E32" s="94">
        <v>6</v>
      </c>
      <c r="F32" s="94">
        <v>2.74</v>
      </c>
      <c r="G32" s="94">
        <v>16</v>
      </c>
    </row>
    <row r="33" spans="2:7">
      <c r="B33" s="95"/>
      <c r="D33" s="94"/>
      <c r="E33" s="94"/>
      <c r="F33" s="94"/>
      <c r="G33" s="94"/>
    </row>
    <row r="34" spans="2:7">
      <c r="B34" s="95"/>
      <c r="C34" s="95"/>
      <c r="D34" s="94"/>
      <c r="E34" s="95"/>
      <c r="F34" s="95"/>
      <c r="G34" s="95"/>
    </row>
    <row r="35" spans="2:7">
      <c r="B35" s="95"/>
      <c r="C35" s="95"/>
      <c r="D35" s="95"/>
      <c r="E35" s="95"/>
      <c r="F35" s="95"/>
      <c r="G35" s="95"/>
    </row>
    <row r="36" spans="2:7">
      <c r="B36" s="94"/>
      <c r="C36" s="94"/>
      <c r="D36" s="94"/>
      <c r="E36" s="94"/>
      <c r="F36" s="94"/>
      <c r="G36" s="94"/>
    </row>
    <row r="37" spans="2:7">
      <c r="B37" s="94"/>
      <c r="D37" s="94"/>
      <c r="E37" s="94"/>
      <c r="F37" s="94"/>
      <c r="G37" s="94"/>
    </row>
    <row r="38" spans="2:7">
      <c r="B38" s="95"/>
      <c r="D38" s="94"/>
      <c r="E38" s="94"/>
      <c r="F38" s="94"/>
      <c r="G38" s="9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BA32"/>
  <sheetViews>
    <sheetView showGridLines="0" zoomScale="55" zoomScaleNormal="55" workbookViewId="0">
      <selection activeCell="A10" sqref="$A10:$XFD10"/>
    </sheetView>
  </sheetViews>
  <sheetFormatPr defaultColWidth="9" defaultRowHeight="13.85"/>
  <cols>
    <col min="1" max="3" width="6.60176991150442" style="38" customWidth="1"/>
    <col min="4" max="7" width="9.33628318584071" style="38" customWidth="1"/>
    <col min="8" max="10" width="6.60176991150442" style="38" customWidth="1"/>
    <col min="11" max="14" width="9.33628318584071" style="38" customWidth="1"/>
    <col min="15" max="17" width="6.60176991150442" style="38" customWidth="1"/>
    <col min="18" max="21" width="9.33628318584071" style="38" customWidth="1"/>
    <col min="22" max="24" width="6.60176991150442" style="38" customWidth="1"/>
    <col min="25" max="28" width="9.33628318584071" style="38" customWidth="1"/>
    <col min="29" max="31" width="6.60176991150442" style="38" customWidth="1"/>
    <col min="32" max="35" width="9.33628318584071" style="38" customWidth="1"/>
    <col min="36" max="38" width="6.60176991150442" style="38" customWidth="1"/>
    <col min="39" max="42" width="9.33628318584071" style="38" customWidth="1"/>
    <col min="43" max="45" width="6.60176991150442" style="38" customWidth="1"/>
    <col min="46" max="51" width="9.33628318584071" style="38" customWidth="1"/>
    <col min="52" max="52" width="6.86725663716814" style="38" customWidth="1"/>
    <col min="53" max="53" width="6.86725663716814" style="38" hidden="1" customWidth="1"/>
    <col min="54" max="54" width="4.60176991150442" customWidth="1"/>
  </cols>
  <sheetData>
    <row r="1" spans="1:53">
      <c r="A1" s="64">
        <v>13</v>
      </c>
      <c r="B1" s="65">
        <v>17</v>
      </c>
      <c r="C1" s="65">
        <v>14</v>
      </c>
      <c r="D1" s="66">
        <f t="shared" ref="D1:D30" si="0">B1-A1</f>
        <v>4</v>
      </c>
      <c r="E1" s="48">
        <f t="shared" ref="E1:E30" si="1">C1-F1</f>
        <v>-0.119999999999999</v>
      </c>
      <c r="F1" s="10">
        <v>14.12</v>
      </c>
      <c r="G1" s="67">
        <v>4</v>
      </c>
      <c r="H1" s="60">
        <v>6.1</v>
      </c>
      <c r="I1" s="1">
        <v>6.9</v>
      </c>
      <c r="J1" s="1">
        <v>6.5</v>
      </c>
      <c r="K1" s="68">
        <f t="shared" ref="K1:K30" si="2">I1-H1</f>
        <v>0.800000000000001</v>
      </c>
      <c r="L1" s="48">
        <f t="shared" ref="L1:L30" si="3">J1-M1</f>
        <v>0.0999999999999996</v>
      </c>
      <c r="M1" s="48">
        <v>6.4</v>
      </c>
      <c r="N1" s="67">
        <v>4</v>
      </c>
      <c r="O1" s="60">
        <v>6</v>
      </c>
      <c r="P1" s="1">
        <v>15</v>
      </c>
      <c r="Q1" s="1">
        <v>7</v>
      </c>
      <c r="R1" s="47">
        <f t="shared" ref="R1:R30" si="4">P1-O1</f>
        <v>9</v>
      </c>
      <c r="S1" s="48">
        <f t="shared" ref="S1:S30" si="5">Q1-T1</f>
        <v>-6</v>
      </c>
      <c r="T1" s="48">
        <v>13</v>
      </c>
      <c r="U1" s="67">
        <v>4</v>
      </c>
      <c r="V1" s="46">
        <v>1</v>
      </c>
      <c r="W1" s="1">
        <v>3000</v>
      </c>
      <c r="X1" s="1">
        <v>100</v>
      </c>
      <c r="Y1" s="47">
        <f t="shared" ref="Y1:Y30" si="6">W1-V1</f>
        <v>2999</v>
      </c>
      <c r="Z1" s="48">
        <f t="shared" ref="Z1:Z30" si="7">X1-AA1</f>
        <v>87.5</v>
      </c>
      <c r="AA1" s="48">
        <v>12.5</v>
      </c>
      <c r="AB1" s="67">
        <v>4</v>
      </c>
      <c r="AC1" s="59">
        <v>3</v>
      </c>
      <c r="AD1" s="10">
        <v>20</v>
      </c>
      <c r="AE1" s="10">
        <v>10</v>
      </c>
      <c r="AF1" s="69">
        <f t="shared" ref="AF1:AF30" si="8">AD1-AC1</f>
        <v>17</v>
      </c>
      <c r="AG1" s="48">
        <f t="shared" ref="AG1:AG30" si="9">AE1-AH1</f>
        <v>-92</v>
      </c>
      <c r="AH1" s="48">
        <v>102</v>
      </c>
      <c r="AI1" s="67">
        <v>5</v>
      </c>
      <c r="AJ1" s="59">
        <v>0.3</v>
      </c>
      <c r="AK1" s="10">
        <v>1</v>
      </c>
      <c r="AL1" s="10">
        <v>0.5</v>
      </c>
      <c r="AM1" s="69">
        <f t="shared" ref="AM1:AM30" si="10">AK1-AJ1</f>
        <v>0.7</v>
      </c>
      <c r="AN1" s="48">
        <f t="shared" ref="AN1:AN30" si="11">AL1-AO1</f>
        <v>-2.7</v>
      </c>
      <c r="AO1" s="48">
        <v>3.2</v>
      </c>
      <c r="AP1" s="67">
        <v>5</v>
      </c>
      <c r="AQ1" s="46">
        <v>10</v>
      </c>
      <c r="AR1" s="1">
        <v>1000</v>
      </c>
      <c r="AS1" s="1">
        <v>300</v>
      </c>
      <c r="AT1" s="47">
        <f t="shared" ref="AT1:AT30" si="12">AR1-AQ1</f>
        <v>990</v>
      </c>
      <c r="AU1" s="48">
        <f t="shared" ref="AU1:AU30" si="13">AS1-AV1</f>
        <v>-487</v>
      </c>
      <c r="AV1" s="48">
        <v>787</v>
      </c>
      <c r="AW1" s="67">
        <v>4</v>
      </c>
      <c r="AX1" s="67">
        <v>9</v>
      </c>
      <c r="AY1" s="67">
        <v>5</v>
      </c>
      <c r="AZ1" s="70">
        <v>2</v>
      </c>
      <c r="BA1" s="71">
        <v>2</v>
      </c>
    </row>
    <row r="2" spans="1:53">
      <c r="A2" s="46">
        <v>14</v>
      </c>
      <c r="B2" s="1">
        <v>14.7</v>
      </c>
      <c r="C2" s="1">
        <v>14.4</v>
      </c>
      <c r="D2" s="68">
        <f t="shared" si="0"/>
        <v>0.699999999999999</v>
      </c>
      <c r="E2" s="48">
        <f t="shared" si="1"/>
        <v>0.280000000000001</v>
      </c>
      <c r="F2" s="10">
        <v>14.12</v>
      </c>
      <c r="G2" s="72">
        <v>4</v>
      </c>
      <c r="H2" s="60">
        <v>6</v>
      </c>
      <c r="I2" s="1">
        <v>6.8</v>
      </c>
      <c r="J2" s="1">
        <v>6.3</v>
      </c>
      <c r="K2" s="68">
        <f t="shared" si="2"/>
        <v>0.8</v>
      </c>
      <c r="L2" s="48">
        <f t="shared" si="3"/>
        <v>-0.100000000000001</v>
      </c>
      <c r="M2" s="48">
        <v>6.4</v>
      </c>
      <c r="N2" s="72">
        <v>4</v>
      </c>
      <c r="O2" s="60">
        <v>6</v>
      </c>
      <c r="P2" s="1">
        <v>15</v>
      </c>
      <c r="Q2" s="1">
        <v>10</v>
      </c>
      <c r="R2" s="47">
        <f t="shared" si="4"/>
        <v>9</v>
      </c>
      <c r="S2" s="48">
        <f t="shared" si="5"/>
        <v>-3</v>
      </c>
      <c r="T2" s="48">
        <v>13</v>
      </c>
      <c r="U2" s="72">
        <v>4</v>
      </c>
      <c r="V2" s="59">
        <v>8</v>
      </c>
      <c r="W2" s="10">
        <v>8.9</v>
      </c>
      <c r="X2" s="10">
        <v>8.3</v>
      </c>
      <c r="Y2" s="69">
        <f t="shared" si="6"/>
        <v>0.9</v>
      </c>
      <c r="Z2" s="48">
        <f t="shared" si="7"/>
        <v>-4.2</v>
      </c>
      <c r="AA2" s="48">
        <v>12.5</v>
      </c>
      <c r="AB2" s="72">
        <v>5</v>
      </c>
      <c r="AC2" s="46">
        <v>100</v>
      </c>
      <c r="AD2" s="1">
        <v>5000</v>
      </c>
      <c r="AE2" s="1">
        <v>700</v>
      </c>
      <c r="AF2" s="47">
        <f t="shared" si="8"/>
        <v>4900</v>
      </c>
      <c r="AG2" s="48">
        <f t="shared" si="9"/>
        <v>598</v>
      </c>
      <c r="AH2" s="48">
        <v>102</v>
      </c>
      <c r="AI2" s="72">
        <v>4</v>
      </c>
      <c r="AJ2" s="46">
        <v>1</v>
      </c>
      <c r="AK2" s="1">
        <v>10</v>
      </c>
      <c r="AL2" s="1">
        <v>3.5</v>
      </c>
      <c r="AM2" s="47">
        <f t="shared" si="10"/>
        <v>9</v>
      </c>
      <c r="AN2" s="48">
        <f t="shared" si="11"/>
        <v>0.3</v>
      </c>
      <c r="AO2" s="48">
        <v>3.2</v>
      </c>
      <c r="AP2" s="72">
        <v>4</v>
      </c>
      <c r="AQ2" s="59">
        <v>1000</v>
      </c>
      <c r="AR2" s="10">
        <v>5000</v>
      </c>
      <c r="AS2" s="10">
        <v>3000</v>
      </c>
      <c r="AT2" s="69">
        <f t="shared" si="12"/>
        <v>4000</v>
      </c>
      <c r="AU2" s="48">
        <f t="shared" si="13"/>
        <v>2213</v>
      </c>
      <c r="AV2" s="48">
        <v>787</v>
      </c>
      <c r="AW2" s="72">
        <v>5</v>
      </c>
      <c r="AX2" s="72">
        <v>9</v>
      </c>
      <c r="AY2" s="72">
        <v>5</v>
      </c>
      <c r="AZ2" s="70">
        <v>3</v>
      </c>
      <c r="BA2" s="71">
        <v>2</v>
      </c>
    </row>
    <row r="3" spans="1:53">
      <c r="A3" s="64">
        <v>12</v>
      </c>
      <c r="B3" s="65">
        <v>16</v>
      </c>
      <c r="C3" s="65">
        <v>14</v>
      </c>
      <c r="D3" s="66">
        <f t="shared" si="0"/>
        <v>4</v>
      </c>
      <c r="E3" s="48">
        <f t="shared" si="1"/>
        <v>-0.119999999999999</v>
      </c>
      <c r="F3" s="10">
        <v>14.12</v>
      </c>
      <c r="G3" s="72">
        <v>4</v>
      </c>
      <c r="H3" s="60">
        <v>6.4</v>
      </c>
      <c r="I3" s="1">
        <v>7.3</v>
      </c>
      <c r="J3" s="1">
        <v>6.5</v>
      </c>
      <c r="K3" s="68">
        <f t="shared" si="2"/>
        <v>0.899999999999999</v>
      </c>
      <c r="L3" s="48">
        <f t="shared" si="3"/>
        <v>0.0999999999999996</v>
      </c>
      <c r="M3" s="48">
        <v>6.4</v>
      </c>
      <c r="N3" s="72">
        <v>4</v>
      </c>
      <c r="O3" s="60">
        <v>12</v>
      </c>
      <c r="P3" s="1">
        <v>13</v>
      </c>
      <c r="Q3" s="1">
        <v>13</v>
      </c>
      <c r="R3" s="47">
        <f t="shared" si="4"/>
        <v>1</v>
      </c>
      <c r="S3" s="48">
        <f t="shared" si="5"/>
        <v>0</v>
      </c>
      <c r="T3" s="48">
        <v>13</v>
      </c>
      <c r="U3" s="72">
        <v>4</v>
      </c>
      <c r="V3" s="46">
        <v>2</v>
      </c>
      <c r="W3" s="1">
        <v>30</v>
      </c>
      <c r="X3" s="1">
        <v>23</v>
      </c>
      <c r="Y3" s="47">
        <f t="shared" si="6"/>
        <v>28</v>
      </c>
      <c r="Z3" s="48">
        <f t="shared" si="7"/>
        <v>10.5</v>
      </c>
      <c r="AA3" s="48">
        <v>12.5</v>
      </c>
      <c r="AB3" s="72">
        <v>4</v>
      </c>
      <c r="AC3" s="46">
        <v>100</v>
      </c>
      <c r="AD3" s="1">
        <v>1000</v>
      </c>
      <c r="AE3" s="1">
        <v>100</v>
      </c>
      <c r="AF3" s="47">
        <f t="shared" si="8"/>
        <v>900</v>
      </c>
      <c r="AG3" s="48">
        <f t="shared" si="9"/>
        <v>-2</v>
      </c>
      <c r="AH3" s="48">
        <v>102</v>
      </c>
      <c r="AI3" s="72">
        <v>4</v>
      </c>
      <c r="AJ3" s="59">
        <v>0.2</v>
      </c>
      <c r="AK3" s="10">
        <v>0.8</v>
      </c>
      <c r="AL3" s="10">
        <v>0.6</v>
      </c>
      <c r="AM3" s="69">
        <f t="shared" si="10"/>
        <v>0.6</v>
      </c>
      <c r="AN3" s="48">
        <f t="shared" si="11"/>
        <v>-2.6</v>
      </c>
      <c r="AO3" s="48">
        <v>3.2</v>
      </c>
      <c r="AP3" s="72">
        <v>5</v>
      </c>
      <c r="AQ3" s="59">
        <v>200</v>
      </c>
      <c r="AR3" s="10">
        <v>500</v>
      </c>
      <c r="AS3" s="10">
        <v>380</v>
      </c>
      <c r="AT3" s="69">
        <f t="shared" si="12"/>
        <v>300</v>
      </c>
      <c r="AU3" s="48">
        <f t="shared" si="13"/>
        <v>-407</v>
      </c>
      <c r="AV3" s="48">
        <v>787</v>
      </c>
      <c r="AW3" s="72">
        <v>5</v>
      </c>
      <c r="AX3" s="72">
        <v>8</v>
      </c>
      <c r="AY3" s="72">
        <v>5</v>
      </c>
      <c r="AZ3" s="70">
        <v>3</v>
      </c>
      <c r="BA3" s="71">
        <v>2</v>
      </c>
    </row>
    <row r="4" spans="1:53">
      <c r="A4" s="64">
        <v>13</v>
      </c>
      <c r="B4" s="65">
        <v>17</v>
      </c>
      <c r="C4" s="65">
        <v>14.8</v>
      </c>
      <c r="D4" s="66">
        <f t="shared" si="0"/>
        <v>4</v>
      </c>
      <c r="E4" s="48">
        <f t="shared" si="1"/>
        <v>0.680000000000001</v>
      </c>
      <c r="F4" s="10">
        <v>14.12</v>
      </c>
      <c r="G4" s="72">
        <v>4</v>
      </c>
      <c r="H4" s="58">
        <v>6.5</v>
      </c>
      <c r="I4" s="10">
        <v>8</v>
      </c>
      <c r="J4" s="10">
        <v>7.6</v>
      </c>
      <c r="K4" s="73">
        <f t="shared" si="2"/>
        <v>1.5</v>
      </c>
      <c r="L4" s="48">
        <f t="shared" si="3"/>
        <v>1.2</v>
      </c>
      <c r="M4" s="48">
        <v>6.4</v>
      </c>
      <c r="N4" s="72">
        <v>5</v>
      </c>
      <c r="O4" s="60">
        <v>12</v>
      </c>
      <c r="P4" s="1">
        <v>25</v>
      </c>
      <c r="Q4" s="1">
        <v>18</v>
      </c>
      <c r="R4" s="47">
        <f t="shared" si="4"/>
        <v>13</v>
      </c>
      <c r="S4" s="48">
        <f t="shared" si="5"/>
        <v>5</v>
      </c>
      <c r="T4" s="48">
        <v>13</v>
      </c>
      <c r="U4" s="72">
        <v>4</v>
      </c>
      <c r="V4" s="46">
        <v>10</v>
      </c>
      <c r="W4" s="1">
        <v>50</v>
      </c>
      <c r="X4" s="1">
        <v>25</v>
      </c>
      <c r="Y4" s="47">
        <f t="shared" si="6"/>
        <v>40</v>
      </c>
      <c r="Z4" s="48">
        <f t="shared" si="7"/>
        <v>12.5</v>
      </c>
      <c r="AA4" s="48">
        <v>12.5</v>
      </c>
      <c r="AB4" s="72">
        <v>4</v>
      </c>
      <c r="AC4" s="59">
        <v>30</v>
      </c>
      <c r="AD4" s="10">
        <v>100</v>
      </c>
      <c r="AE4" s="10">
        <v>50</v>
      </c>
      <c r="AF4" s="69">
        <f t="shared" si="8"/>
        <v>70</v>
      </c>
      <c r="AG4" s="48">
        <f t="shared" si="9"/>
        <v>-52</v>
      </c>
      <c r="AH4" s="48">
        <v>102</v>
      </c>
      <c r="AI4" s="72">
        <v>5</v>
      </c>
      <c r="AJ4" s="46">
        <v>2.5</v>
      </c>
      <c r="AK4" s="1">
        <v>8.5</v>
      </c>
      <c r="AL4" s="1">
        <v>5</v>
      </c>
      <c r="AM4" s="47">
        <f t="shared" si="10"/>
        <v>6</v>
      </c>
      <c r="AN4" s="48">
        <f t="shared" si="11"/>
        <v>1.8</v>
      </c>
      <c r="AO4" s="48">
        <v>3.2</v>
      </c>
      <c r="AP4" s="72">
        <v>4</v>
      </c>
      <c r="AQ4" s="46">
        <v>400</v>
      </c>
      <c r="AR4" s="1">
        <v>1000</v>
      </c>
      <c r="AS4" s="1">
        <v>800</v>
      </c>
      <c r="AT4" s="47">
        <f t="shared" si="12"/>
        <v>600</v>
      </c>
      <c r="AU4" s="48">
        <f t="shared" si="13"/>
        <v>13</v>
      </c>
      <c r="AV4" s="48">
        <v>787</v>
      </c>
      <c r="AW4" s="72">
        <v>4</v>
      </c>
      <c r="AX4" s="72">
        <v>9</v>
      </c>
      <c r="AY4" s="72">
        <v>5</v>
      </c>
      <c r="AZ4" s="70">
        <v>2</v>
      </c>
      <c r="BA4" s="71">
        <v>2</v>
      </c>
    </row>
    <row r="5" spans="1:53">
      <c r="A5" s="46">
        <v>14.12</v>
      </c>
      <c r="B5" s="1">
        <v>14.3</v>
      </c>
      <c r="C5" s="1">
        <v>14.16</v>
      </c>
      <c r="D5" s="68">
        <f t="shared" si="0"/>
        <v>0.180000000000001</v>
      </c>
      <c r="E5" s="48">
        <f t="shared" si="1"/>
        <v>0.0400000000000009</v>
      </c>
      <c r="F5" s="10">
        <v>14.12</v>
      </c>
      <c r="G5" s="72">
        <v>3</v>
      </c>
      <c r="H5" s="60">
        <v>6.2</v>
      </c>
      <c r="I5" s="1">
        <v>6.9</v>
      </c>
      <c r="J5" s="1">
        <v>6.7</v>
      </c>
      <c r="K5" s="68">
        <f t="shared" si="2"/>
        <v>0.7</v>
      </c>
      <c r="L5" s="48">
        <f t="shared" si="3"/>
        <v>0.3</v>
      </c>
      <c r="M5" s="48">
        <v>6.4</v>
      </c>
      <c r="N5" s="72">
        <v>3</v>
      </c>
      <c r="O5" s="60">
        <v>8</v>
      </c>
      <c r="P5" s="1">
        <v>15</v>
      </c>
      <c r="Q5" s="1">
        <v>11</v>
      </c>
      <c r="R5" s="47">
        <f t="shared" si="4"/>
        <v>7</v>
      </c>
      <c r="S5" s="48">
        <f t="shared" si="5"/>
        <v>-2</v>
      </c>
      <c r="T5" s="48">
        <v>13</v>
      </c>
      <c r="U5" s="72">
        <v>3</v>
      </c>
      <c r="V5" s="46">
        <v>10</v>
      </c>
      <c r="W5" s="1">
        <v>50</v>
      </c>
      <c r="X5" s="1">
        <v>40</v>
      </c>
      <c r="Y5" s="47">
        <f t="shared" si="6"/>
        <v>40</v>
      </c>
      <c r="Z5" s="48">
        <f t="shared" si="7"/>
        <v>27.5</v>
      </c>
      <c r="AA5" s="48">
        <v>12.5</v>
      </c>
      <c r="AB5" s="72">
        <v>3</v>
      </c>
      <c r="AC5" s="59">
        <v>1000</v>
      </c>
      <c r="AD5" s="10">
        <v>3000</v>
      </c>
      <c r="AE5" s="10">
        <v>2000</v>
      </c>
      <c r="AF5" s="69">
        <f t="shared" si="8"/>
        <v>2000</v>
      </c>
      <c r="AG5" s="48">
        <f t="shared" si="9"/>
        <v>1898</v>
      </c>
      <c r="AH5" s="48">
        <v>102</v>
      </c>
      <c r="AI5" s="72">
        <v>4</v>
      </c>
      <c r="AJ5" s="59">
        <v>0.8</v>
      </c>
      <c r="AK5" s="10">
        <v>2</v>
      </c>
      <c r="AL5" s="10">
        <v>1.2</v>
      </c>
      <c r="AM5" s="69">
        <f t="shared" si="10"/>
        <v>1.2</v>
      </c>
      <c r="AN5" s="48">
        <f t="shared" si="11"/>
        <v>-2</v>
      </c>
      <c r="AO5" s="48">
        <v>3.2</v>
      </c>
      <c r="AP5" s="72">
        <v>4</v>
      </c>
      <c r="AQ5" s="59">
        <v>180</v>
      </c>
      <c r="AR5" s="10">
        <v>250</v>
      </c>
      <c r="AS5" s="10">
        <v>200</v>
      </c>
      <c r="AT5" s="69">
        <f t="shared" si="12"/>
        <v>70</v>
      </c>
      <c r="AU5" s="48">
        <f t="shared" si="13"/>
        <v>-587</v>
      </c>
      <c r="AV5" s="48">
        <v>787</v>
      </c>
      <c r="AW5" s="72">
        <v>4</v>
      </c>
      <c r="AX5" s="72">
        <v>9</v>
      </c>
      <c r="AY5" s="72">
        <v>4</v>
      </c>
      <c r="AZ5" s="70">
        <v>1</v>
      </c>
      <c r="BA5" s="71">
        <v>1</v>
      </c>
    </row>
    <row r="6" spans="1:53">
      <c r="A6" s="64">
        <v>14</v>
      </c>
      <c r="B6" s="65">
        <v>16</v>
      </c>
      <c r="C6" s="65">
        <v>15</v>
      </c>
      <c r="D6" s="66">
        <f t="shared" si="0"/>
        <v>2</v>
      </c>
      <c r="E6" s="48">
        <f t="shared" si="1"/>
        <v>0.880000000000001</v>
      </c>
      <c r="F6" s="10">
        <v>14.12</v>
      </c>
      <c r="G6" s="72">
        <v>3</v>
      </c>
      <c r="H6" s="60">
        <v>6</v>
      </c>
      <c r="I6" s="1">
        <v>8</v>
      </c>
      <c r="J6" s="1">
        <v>7</v>
      </c>
      <c r="K6" s="68">
        <f t="shared" si="2"/>
        <v>2</v>
      </c>
      <c r="L6" s="48">
        <f t="shared" si="3"/>
        <v>0.6</v>
      </c>
      <c r="M6" s="48">
        <v>6.4</v>
      </c>
      <c r="N6" s="72">
        <v>3</v>
      </c>
      <c r="O6" s="60">
        <v>10</v>
      </c>
      <c r="P6" s="1">
        <v>15</v>
      </c>
      <c r="Q6" s="1">
        <v>12</v>
      </c>
      <c r="R6" s="47">
        <f t="shared" si="4"/>
        <v>5</v>
      </c>
      <c r="S6" s="48">
        <f t="shared" si="5"/>
        <v>-1</v>
      </c>
      <c r="T6" s="48">
        <v>13</v>
      </c>
      <c r="U6" s="72">
        <v>3</v>
      </c>
      <c r="V6" s="59">
        <v>1</v>
      </c>
      <c r="W6" s="10">
        <v>2</v>
      </c>
      <c r="X6" s="10">
        <v>1.2</v>
      </c>
      <c r="Y6" s="69">
        <f t="shared" si="6"/>
        <v>1</v>
      </c>
      <c r="Z6" s="48">
        <f t="shared" si="7"/>
        <v>-11.3</v>
      </c>
      <c r="AA6" s="48">
        <v>12.5</v>
      </c>
      <c r="AB6" s="72">
        <v>4</v>
      </c>
      <c r="AC6" s="59">
        <v>200</v>
      </c>
      <c r="AD6" s="10">
        <v>300</v>
      </c>
      <c r="AE6" s="10">
        <v>288</v>
      </c>
      <c r="AF6" s="69">
        <f t="shared" si="8"/>
        <v>100</v>
      </c>
      <c r="AG6" s="48">
        <f t="shared" si="9"/>
        <v>186</v>
      </c>
      <c r="AH6" s="48">
        <v>102</v>
      </c>
      <c r="AI6" s="72">
        <v>4</v>
      </c>
      <c r="AJ6" s="46">
        <v>3</v>
      </c>
      <c r="AK6" s="1">
        <v>10</v>
      </c>
      <c r="AL6" s="1">
        <v>5</v>
      </c>
      <c r="AM6" s="47">
        <f t="shared" si="10"/>
        <v>7</v>
      </c>
      <c r="AN6" s="48">
        <f t="shared" si="11"/>
        <v>1.8</v>
      </c>
      <c r="AO6" s="48">
        <v>3.2</v>
      </c>
      <c r="AP6" s="72">
        <v>3</v>
      </c>
      <c r="AQ6" s="59">
        <v>3000</v>
      </c>
      <c r="AR6" s="10">
        <v>5000</v>
      </c>
      <c r="AS6" s="10">
        <v>4000</v>
      </c>
      <c r="AT6" s="69">
        <f t="shared" si="12"/>
        <v>2000</v>
      </c>
      <c r="AU6" s="48">
        <f t="shared" si="13"/>
        <v>3213</v>
      </c>
      <c r="AV6" s="48">
        <v>787</v>
      </c>
      <c r="AW6" s="72">
        <v>4</v>
      </c>
      <c r="AX6" s="72">
        <v>7</v>
      </c>
      <c r="AY6" s="72">
        <v>4</v>
      </c>
      <c r="AZ6" s="70">
        <v>1</v>
      </c>
      <c r="BA6" s="71">
        <v>1</v>
      </c>
    </row>
    <row r="7" spans="1:53">
      <c r="A7" s="46">
        <v>14</v>
      </c>
      <c r="B7" s="1">
        <v>15</v>
      </c>
      <c r="C7" s="1">
        <v>14.5</v>
      </c>
      <c r="D7" s="68">
        <f t="shared" si="0"/>
        <v>1</v>
      </c>
      <c r="E7" s="48">
        <f t="shared" si="1"/>
        <v>0.380000000000001</v>
      </c>
      <c r="F7" s="10">
        <v>14.12</v>
      </c>
      <c r="G7" s="72">
        <v>3</v>
      </c>
      <c r="H7" s="60">
        <v>6.3</v>
      </c>
      <c r="I7" s="1">
        <v>6.6</v>
      </c>
      <c r="J7" s="1">
        <v>6.45</v>
      </c>
      <c r="K7" s="68">
        <f t="shared" si="2"/>
        <v>0.3</v>
      </c>
      <c r="L7" s="48">
        <f t="shared" si="3"/>
        <v>0.0499999999999998</v>
      </c>
      <c r="M7" s="48">
        <v>6.4</v>
      </c>
      <c r="N7" s="72">
        <v>3</v>
      </c>
      <c r="O7" s="60">
        <v>5</v>
      </c>
      <c r="P7" s="1">
        <v>15</v>
      </c>
      <c r="Q7" s="1">
        <v>10</v>
      </c>
      <c r="R7" s="47">
        <f t="shared" si="4"/>
        <v>10</v>
      </c>
      <c r="S7" s="48">
        <f t="shared" si="5"/>
        <v>-3</v>
      </c>
      <c r="T7" s="48">
        <v>13</v>
      </c>
      <c r="U7" s="72">
        <v>3</v>
      </c>
      <c r="V7" s="59">
        <v>1000</v>
      </c>
      <c r="W7" s="10">
        <v>3000</v>
      </c>
      <c r="X7" s="10">
        <v>2000</v>
      </c>
      <c r="Y7" s="69">
        <f t="shared" si="6"/>
        <v>2000</v>
      </c>
      <c r="Z7" s="48">
        <f t="shared" si="7"/>
        <v>1987.5</v>
      </c>
      <c r="AA7" s="48">
        <v>12.5</v>
      </c>
      <c r="AB7" s="72">
        <v>4</v>
      </c>
      <c r="AC7" s="59">
        <v>200</v>
      </c>
      <c r="AD7" s="10">
        <v>2000</v>
      </c>
      <c r="AE7" s="10">
        <v>1000</v>
      </c>
      <c r="AF7" s="69">
        <f t="shared" si="8"/>
        <v>1800</v>
      </c>
      <c r="AG7" s="48">
        <f t="shared" si="9"/>
        <v>898</v>
      </c>
      <c r="AH7" s="48">
        <v>102</v>
      </c>
      <c r="AI7" s="72">
        <v>4</v>
      </c>
      <c r="AJ7" s="46">
        <v>0.5</v>
      </c>
      <c r="AK7" s="1">
        <v>10</v>
      </c>
      <c r="AL7" s="1">
        <v>5</v>
      </c>
      <c r="AM7" s="47">
        <f t="shared" si="10"/>
        <v>9.5</v>
      </c>
      <c r="AN7" s="48">
        <f t="shared" si="11"/>
        <v>1.8</v>
      </c>
      <c r="AO7" s="48">
        <v>3.2</v>
      </c>
      <c r="AP7" s="72">
        <v>3</v>
      </c>
      <c r="AQ7" s="59">
        <v>200</v>
      </c>
      <c r="AR7" s="10">
        <v>500</v>
      </c>
      <c r="AS7" s="10">
        <v>400</v>
      </c>
      <c r="AT7" s="69">
        <f t="shared" si="12"/>
        <v>300</v>
      </c>
      <c r="AU7" s="48">
        <f t="shared" si="13"/>
        <v>-387</v>
      </c>
      <c r="AV7" s="48">
        <v>787</v>
      </c>
      <c r="AW7" s="72">
        <v>4</v>
      </c>
      <c r="AX7" s="74">
        <v>7</v>
      </c>
      <c r="AY7" s="72">
        <v>4</v>
      </c>
      <c r="AZ7" s="70">
        <v>2</v>
      </c>
      <c r="BA7" s="71">
        <v>2</v>
      </c>
    </row>
    <row r="8" spans="1:53">
      <c r="A8" s="64">
        <v>13.87</v>
      </c>
      <c r="B8" s="65">
        <v>16.93</v>
      </c>
      <c r="C8" s="65">
        <v>14.68</v>
      </c>
      <c r="D8" s="66">
        <f t="shared" si="0"/>
        <v>3.06</v>
      </c>
      <c r="E8" s="48">
        <f t="shared" si="1"/>
        <v>0.56</v>
      </c>
      <c r="F8" s="10">
        <v>14.12</v>
      </c>
      <c r="G8" s="72">
        <v>2</v>
      </c>
      <c r="H8" s="58">
        <v>6.8</v>
      </c>
      <c r="I8" s="10">
        <v>8.2</v>
      </c>
      <c r="J8" s="10">
        <v>7.3</v>
      </c>
      <c r="K8" s="73">
        <f t="shared" si="2"/>
        <v>1.4</v>
      </c>
      <c r="L8" s="48">
        <f t="shared" si="3"/>
        <v>0.899999999999999</v>
      </c>
      <c r="M8" s="48">
        <v>6.4</v>
      </c>
      <c r="N8" s="72">
        <v>3</v>
      </c>
      <c r="O8" s="60">
        <v>10</v>
      </c>
      <c r="P8" s="1">
        <v>20</v>
      </c>
      <c r="Q8" s="1">
        <v>12</v>
      </c>
      <c r="R8" s="47">
        <f t="shared" si="4"/>
        <v>10</v>
      </c>
      <c r="S8" s="48">
        <f t="shared" si="5"/>
        <v>-1</v>
      </c>
      <c r="T8" s="48">
        <v>13</v>
      </c>
      <c r="U8" s="72">
        <v>2</v>
      </c>
      <c r="V8" s="46">
        <v>10</v>
      </c>
      <c r="W8" s="1">
        <v>45.2</v>
      </c>
      <c r="X8" s="1">
        <v>31.2</v>
      </c>
      <c r="Y8" s="47">
        <f t="shared" si="6"/>
        <v>35.2</v>
      </c>
      <c r="Z8" s="48">
        <f t="shared" si="7"/>
        <v>18.7</v>
      </c>
      <c r="AA8" s="48">
        <v>12.5</v>
      </c>
      <c r="AB8" s="72">
        <v>2</v>
      </c>
      <c r="AC8" s="59">
        <v>20</v>
      </c>
      <c r="AD8" s="10">
        <v>35</v>
      </c>
      <c r="AE8" s="10">
        <v>30</v>
      </c>
      <c r="AF8" s="69">
        <f t="shared" si="8"/>
        <v>15</v>
      </c>
      <c r="AG8" s="48">
        <f t="shared" si="9"/>
        <v>-72</v>
      </c>
      <c r="AH8" s="48">
        <v>102</v>
      </c>
      <c r="AI8" s="72">
        <v>3</v>
      </c>
      <c r="AJ8" s="59">
        <v>0.5</v>
      </c>
      <c r="AK8" s="10">
        <v>1.2</v>
      </c>
      <c r="AL8" s="10">
        <v>0.8</v>
      </c>
      <c r="AM8" s="69">
        <f t="shared" si="10"/>
        <v>0.7</v>
      </c>
      <c r="AN8" s="48">
        <f t="shared" si="11"/>
        <v>-2.4</v>
      </c>
      <c r="AO8" s="48">
        <v>3.2</v>
      </c>
      <c r="AP8" s="72">
        <v>3</v>
      </c>
      <c r="AQ8" s="59">
        <v>20</v>
      </c>
      <c r="AR8" s="10">
        <v>30</v>
      </c>
      <c r="AS8" s="10">
        <v>28</v>
      </c>
      <c r="AT8" s="69">
        <f t="shared" si="12"/>
        <v>10</v>
      </c>
      <c r="AU8" s="48">
        <f t="shared" si="13"/>
        <v>-759</v>
      </c>
      <c r="AV8" s="48">
        <v>787</v>
      </c>
      <c r="AW8" s="72">
        <v>3</v>
      </c>
      <c r="AX8" s="74">
        <v>3</v>
      </c>
      <c r="AY8" s="72">
        <v>3</v>
      </c>
      <c r="AZ8" s="70">
        <v>2</v>
      </c>
      <c r="BA8" s="71">
        <v>1</v>
      </c>
    </row>
    <row r="9" spans="1:53">
      <c r="A9" s="46">
        <v>14</v>
      </c>
      <c r="B9" s="1">
        <v>15</v>
      </c>
      <c r="C9" s="1">
        <v>14.7</v>
      </c>
      <c r="D9" s="68">
        <f t="shared" si="0"/>
        <v>1</v>
      </c>
      <c r="E9" s="48">
        <f t="shared" si="1"/>
        <v>0.58</v>
      </c>
      <c r="F9" s="10">
        <v>14.12</v>
      </c>
      <c r="G9" s="72">
        <v>2</v>
      </c>
      <c r="H9" s="60">
        <v>6</v>
      </c>
      <c r="I9" s="1">
        <v>7</v>
      </c>
      <c r="J9" s="1">
        <v>6.6</v>
      </c>
      <c r="K9" s="68">
        <f t="shared" si="2"/>
        <v>1</v>
      </c>
      <c r="L9" s="48">
        <f t="shared" si="3"/>
        <v>0.199999999999999</v>
      </c>
      <c r="M9" s="48">
        <v>6.4</v>
      </c>
      <c r="N9" s="72">
        <v>2</v>
      </c>
      <c r="O9" s="58">
        <v>21</v>
      </c>
      <c r="P9" s="10">
        <v>25</v>
      </c>
      <c r="Q9" s="10">
        <v>24</v>
      </c>
      <c r="R9" s="69">
        <f t="shared" si="4"/>
        <v>4</v>
      </c>
      <c r="S9" s="48">
        <f t="shared" si="5"/>
        <v>11</v>
      </c>
      <c r="T9" s="48">
        <v>13</v>
      </c>
      <c r="U9" s="72">
        <v>3</v>
      </c>
      <c r="V9" s="59">
        <v>100</v>
      </c>
      <c r="W9" s="10">
        <v>300</v>
      </c>
      <c r="X9" s="10">
        <v>200</v>
      </c>
      <c r="Y9" s="69">
        <f t="shared" si="6"/>
        <v>200</v>
      </c>
      <c r="Z9" s="48">
        <f t="shared" si="7"/>
        <v>187.5</v>
      </c>
      <c r="AA9" s="48">
        <v>12.5</v>
      </c>
      <c r="AB9" s="72">
        <v>3</v>
      </c>
      <c r="AC9" s="46">
        <v>10</v>
      </c>
      <c r="AD9" s="1">
        <v>300</v>
      </c>
      <c r="AE9" s="1">
        <v>126</v>
      </c>
      <c r="AF9" s="47">
        <f t="shared" si="8"/>
        <v>290</v>
      </c>
      <c r="AG9" s="48">
        <f t="shared" si="9"/>
        <v>24</v>
      </c>
      <c r="AH9" s="48">
        <v>102</v>
      </c>
      <c r="AI9" s="72">
        <v>2</v>
      </c>
      <c r="AJ9" s="59">
        <v>0.8</v>
      </c>
      <c r="AK9" s="10">
        <v>2.5</v>
      </c>
      <c r="AL9" s="10">
        <v>1.4</v>
      </c>
      <c r="AM9" s="69">
        <f t="shared" si="10"/>
        <v>1.7</v>
      </c>
      <c r="AN9" s="48">
        <f t="shared" si="11"/>
        <v>-1.8</v>
      </c>
      <c r="AO9" s="48">
        <v>3.2</v>
      </c>
      <c r="AP9" s="72">
        <v>3</v>
      </c>
      <c r="AQ9" s="59">
        <v>1000</v>
      </c>
      <c r="AR9" s="10">
        <v>10000</v>
      </c>
      <c r="AS9" s="10">
        <v>3200</v>
      </c>
      <c r="AT9" s="69">
        <f t="shared" si="12"/>
        <v>9000</v>
      </c>
      <c r="AU9" s="48">
        <f t="shared" si="13"/>
        <v>2413</v>
      </c>
      <c r="AV9" s="48">
        <v>787</v>
      </c>
      <c r="AW9" s="72">
        <v>3</v>
      </c>
      <c r="AX9" s="74">
        <v>10</v>
      </c>
      <c r="AY9" s="72">
        <v>3</v>
      </c>
      <c r="AZ9" s="70">
        <v>2</v>
      </c>
      <c r="BA9" s="71">
        <v>3</v>
      </c>
    </row>
    <row r="10" spans="1:53">
      <c r="A10" s="59">
        <v>14.3</v>
      </c>
      <c r="B10" s="10">
        <v>14.7</v>
      </c>
      <c r="C10" s="10">
        <v>14.5</v>
      </c>
      <c r="D10" s="73">
        <f t="shared" si="0"/>
        <v>0.399999999999999</v>
      </c>
      <c r="E10" s="48">
        <f t="shared" si="1"/>
        <v>0.380000000000001</v>
      </c>
      <c r="F10" s="10">
        <v>14.12</v>
      </c>
      <c r="G10" s="72">
        <v>3</v>
      </c>
      <c r="H10" s="60">
        <v>6.4</v>
      </c>
      <c r="I10" s="1">
        <v>6.8</v>
      </c>
      <c r="J10" s="1">
        <v>6.5</v>
      </c>
      <c r="K10" s="68">
        <f t="shared" si="2"/>
        <v>0.399999999999999</v>
      </c>
      <c r="L10" s="48">
        <f t="shared" si="3"/>
        <v>0.0999999999999996</v>
      </c>
      <c r="M10" s="48">
        <v>6.4</v>
      </c>
      <c r="N10" s="72">
        <v>2</v>
      </c>
      <c r="O10" s="58">
        <v>7</v>
      </c>
      <c r="P10" s="10">
        <v>8</v>
      </c>
      <c r="Q10" s="10">
        <v>8</v>
      </c>
      <c r="R10" s="69">
        <f t="shared" si="4"/>
        <v>1</v>
      </c>
      <c r="S10" s="48">
        <f t="shared" si="5"/>
        <v>-5</v>
      </c>
      <c r="T10" s="48">
        <v>13</v>
      </c>
      <c r="U10" s="72">
        <v>3</v>
      </c>
      <c r="V10" s="59">
        <v>9.5</v>
      </c>
      <c r="W10" s="10">
        <v>11</v>
      </c>
      <c r="X10" s="10">
        <v>10.1</v>
      </c>
      <c r="Y10" s="69">
        <f t="shared" si="6"/>
        <v>1.5</v>
      </c>
      <c r="Z10" s="48">
        <f t="shared" si="7"/>
        <v>-2.4</v>
      </c>
      <c r="AA10" s="48">
        <v>12.5</v>
      </c>
      <c r="AB10" s="72">
        <v>3</v>
      </c>
      <c r="AC10" s="46">
        <v>90</v>
      </c>
      <c r="AD10" s="1">
        <v>110</v>
      </c>
      <c r="AE10" s="1">
        <v>100</v>
      </c>
      <c r="AF10" s="47">
        <f t="shared" si="8"/>
        <v>20</v>
      </c>
      <c r="AG10" s="48">
        <f t="shared" si="9"/>
        <v>-2</v>
      </c>
      <c r="AH10" s="48">
        <v>102</v>
      </c>
      <c r="AI10" s="72">
        <v>2</v>
      </c>
      <c r="AJ10" s="46">
        <v>2</v>
      </c>
      <c r="AK10" s="1">
        <v>4</v>
      </c>
      <c r="AL10" s="1">
        <v>3</v>
      </c>
      <c r="AM10" s="47">
        <f t="shared" si="10"/>
        <v>2</v>
      </c>
      <c r="AN10" s="48">
        <f t="shared" si="11"/>
        <v>-0.2</v>
      </c>
      <c r="AO10" s="48">
        <v>3.2</v>
      </c>
      <c r="AP10" s="72">
        <v>2</v>
      </c>
      <c r="AQ10" s="59">
        <v>900</v>
      </c>
      <c r="AR10" s="10">
        <v>980</v>
      </c>
      <c r="AS10" s="10">
        <v>960</v>
      </c>
      <c r="AT10" s="69">
        <f t="shared" si="12"/>
        <v>80</v>
      </c>
      <c r="AU10" s="48">
        <f t="shared" si="13"/>
        <v>173</v>
      </c>
      <c r="AV10" s="48">
        <v>787</v>
      </c>
      <c r="AW10" s="72">
        <v>3</v>
      </c>
      <c r="AX10" s="74">
        <v>7</v>
      </c>
      <c r="AY10" s="72">
        <v>3</v>
      </c>
      <c r="AZ10" s="70">
        <v>4</v>
      </c>
      <c r="BA10" s="71">
        <v>1</v>
      </c>
    </row>
    <row r="11" spans="1:53">
      <c r="A11" s="46">
        <v>14</v>
      </c>
      <c r="B11" s="1">
        <v>15</v>
      </c>
      <c r="C11" s="1">
        <v>14.32</v>
      </c>
      <c r="D11" s="68">
        <f t="shared" si="0"/>
        <v>1</v>
      </c>
      <c r="E11" s="48">
        <f t="shared" si="1"/>
        <v>0.200000000000001</v>
      </c>
      <c r="F11" s="10">
        <v>14.12</v>
      </c>
      <c r="G11" s="72">
        <v>2</v>
      </c>
      <c r="H11" s="58">
        <v>6.6</v>
      </c>
      <c r="I11" s="10">
        <v>7.8</v>
      </c>
      <c r="J11" s="10">
        <v>6.8</v>
      </c>
      <c r="K11" s="73">
        <f t="shared" si="2"/>
        <v>1.2</v>
      </c>
      <c r="L11" s="48">
        <f t="shared" si="3"/>
        <v>0.399999999999999</v>
      </c>
      <c r="M11" s="48">
        <v>6.4</v>
      </c>
      <c r="N11" s="72">
        <v>3</v>
      </c>
      <c r="O11" s="58">
        <v>3</v>
      </c>
      <c r="P11" s="10">
        <v>12</v>
      </c>
      <c r="Q11" s="10">
        <v>9</v>
      </c>
      <c r="R11" s="69">
        <f t="shared" si="4"/>
        <v>9</v>
      </c>
      <c r="S11" s="48">
        <f t="shared" si="5"/>
        <v>-4</v>
      </c>
      <c r="T11" s="48">
        <v>13</v>
      </c>
      <c r="U11" s="72">
        <v>3</v>
      </c>
      <c r="V11" s="46">
        <v>1.1</v>
      </c>
      <c r="W11" s="1">
        <v>20.2</v>
      </c>
      <c r="X11" s="1">
        <v>12.2</v>
      </c>
      <c r="Y11" s="47">
        <f t="shared" si="6"/>
        <v>19.1</v>
      </c>
      <c r="Z11" s="48">
        <f t="shared" si="7"/>
        <v>-0.300000000000001</v>
      </c>
      <c r="AA11" s="48">
        <v>12.5</v>
      </c>
      <c r="AB11" s="72">
        <v>2</v>
      </c>
      <c r="AC11" s="59">
        <v>200</v>
      </c>
      <c r="AD11" s="10">
        <v>250</v>
      </c>
      <c r="AE11" s="10">
        <v>205</v>
      </c>
      <c r="AF11" s="69">
        <f t="shared" si="8"/>
        <v>50</v>
      </c>
      <c r="AG11" s="48">
        <f t="shared" si="9"/>
        <v>103</v>
      </c>
      <c r="AH11" s="48">
        <v>102</v>
      </c>
      <c r="AI11" s="72">
        <v>3</v>
      </c>
      <c r="AJ11" s="46">
        <v>0.5</v>
      </c>
      <c r="AK11" s="1">
        <v>3.5</v>
      </c>
      <c r="AL11" s="1">
        <v>1.2</v>
      </c>
      <c r="AM11" s="47">
        <f t="shared" si="10"/>
        <v>3</v>
      </c>
      <c r="AN11" s="48">
        <f t="shared" si="11"/>
        <v>-2</v>
      </c>
      <c r="AO11" s="48">
        <v>3.2</v>
      </c>
      <c r="AP11" s="72">
        <v>2</v>
      </c>
      <c r="AQ11" s="59">
        <v>125</v>
      </c>
      <c r="AR11" s="10">
        <v>300</v>
      </c>
      <c r="AS11" s="10">
        <v>240</v>
      </c>
      <c r="AT11" s="69">
        <f t="shared" si="12"/>
        <v>175</v>
      </c>
      <c r="AU11" s="48">
        <f t="shared" si="13"/>
        <v>-547</v>
      </c>
      <c r="AV11" s="48">
        <v>787</v>
      </c>
      <c r="AW11" s="72">
        <v>3</v>
      </c>
      <c r="AX11" s="74">
        <v>3</v>
      </c>
      <c r="AY11" s="72">
        <v>3</v>
      </c>
      <c r="AZ11" s="70">
        <v>2</v>
      </c>
      <c r="BA11" s="71">
        <v>1</v>
      </c>
    </row>
    <row r="12" spans="1:53">
      <c r="A12" s="64">
        <v>13</v>
      </c>
      <c r="B12" s="65">
        <v>17</v>
      </c>
      <c r="C12" s="65">
        <v>15</v>
      </c>
      <c r="D12" s="66">
        <f t="shared" si="0"/>
        <v>4</v>
      </c>
      <c r="E12" s="48">
        <f t="shared" si="1"/>
        <v>0.880000000000001</v>
      </c>
      <c r="F12" s="10">
        <v>14.12</v>
      </c>
      <c r="G12" s="72">
        <v>2</v>
      </c>
      <c r="H12" s="58">
        <v>8</v>
      </c>
      <c r="I12" s="10">
        <v>9</v>
      </c>
      <c r="J12" s="10">
        <v>8.6</v>
      </c>
      <c r="K12" s="73">
        <f t="shared" si="2"/>
        <v>1</v>
      </c>
      <c r="L12" s="48">
        <f t="shared" si="3"/>
        <v>2.2</v>
      </c>
      <c r="M12" s="48">
        <v>6.4</v>
      </c>
      <c r="N12" s="72">
        <v>3</v>
      </c>
      <c r="O12" s="55">
        <v>4</v>
      </c>
      <c r="P12" s="9">
        <v>10</v>
      </c>
      <c r="Q12" s="9">
        <v>8</v>
      </c>
      <c r="R12" s="56">
        <f t="shared" si="4"/>
        <v>6</v>
      </c>
      <c r="S12" s="48">
        <f t="shared" si="5"/>
        <v>-5</v>
      </c>
      <c r="T12" s="48">
        <v>13</v>
      </c>
      <c r="U12" s="72">
        <v>3</v>
      </c>
      <c r="V12" s="46">
        <v>10</v>
      </c>
      <c r="W12" s="1">
        <v>20</v>
      </c>
      <c r="X12" s="1">
        <v>15</v>
      </c>
      <c r="Y12" s="47">
        <f t="shared" si="6"/>
        <v>10</v>
      </c>
      <c r="Z12" s="48">
        <f t="shared" si="7"/>
        <v>2.5</v>
      </c>
      <c r="AA12" s="48">
        <v>12.5</v>
      </c>
      <c r="AB12" s="72">
        <v>2</v>
      </c>
      <c r="AC12" s="59">
        <v>200</v>
      </c>
      <c r="AD12" s="10">
        <v>400</v>
      </c>
      <c r="AE12" s="10">
        <v>300</v>
      </c>
      <c r="AF12" s="69">
        <f t="shared" si="8"/>
        <v>200</v>
      </c>
      <c r="AG12" s="48">
        <f t="shared" si="9"/>
        <v>198</v>
      </c>
      <c r="AH12" s="48">
        <v>102</v>
      </c>
      <c r="AI12" s="72">
        <v>3</v>
      </c>
      <c r="AJ12" s="59">
        <v>0.2</v>
      </c>
      <c r="AK12" s="10">
        <v>0.8</v>
      </c>
      <c r="AL12" s="10">
        <v>0.6</v>
      </c>
      <c r="AM12" s="69">
        <f t="shared" si="10"/>
        <v>0.6</v>
      </c>
      <c r="AN12" s="48">
        <f t="shared" si="11"/>
        <v>-2.6</v>
      </c>
      <c r="AO12" s="48">
        <v>3.2</v>
      </c>
      <c r="AP12" s="72">
        <v>3</v>
      </c>
      <c r="AQ12" s="46">
        <v>300</v>
      </c>
      <c r="AR12" s="1">
        <v>1000</v>
      </c>
      <c r="AS12" s="1">
        <v>500</v>
      </c>
      <c r="AT12" s="47">
        <f t="shared" si="12"/>
        <v>700</v>
      </c>
      <c r="AU12" s="48">
        <f t="shared" si="13"/>
        <v>-287</v>
      </c>
      <c r="AV12" s="48">
        <v>787</v>
      </c>
      <c r="AW12" s="72">
        <v>2</v>
      </c>
      <c r="AX12" s="74">
        <v>7</v>
      </c>
      <c r="AY12" s="72">
        <v>3</v>
      </c>
      <c r="AZ12" s="70">
        <v>2</v>
      </c>
      <c r="BA12" s="71">
        <v>1</v>
      </c>
    </row>
    <row r="13" spans="1:53">
      <c r="A13" s="64">
        <v>13.01</v>
      </c>
      <c r="B13" s="65">
        <v>15.5</v>
      </c>
      <c r="C13" s="65">
        <v>14.35</v>
      </c>
      <c r="D13" s="66">
        <f t="shared" si="0"/>
        <v>2.49</v>
      </c>
      <c r="E13" s="48">
        <f t="shared" si="1"/>
        <v>0.23</v>
      </c>
      <c r="F13" s="10">
        <v>14.12</v>
      </c>
      <c r="G13" s="72">
        <v>2</v>
      </c>
      <c r="H13" s="75">
        <v>6.1</v>
      </c>
      <c r="I13" s="65">
        <v>8.5</v>
      </c>
      <c r="J13" s="65">
        <v>7.6</v>
      </c>
      <c r="K13" s="66">
        <f t="shared" si="2"/>
        <v>2.4</v>
      </c>
      <c r="L13" s="48">
        <f t="shared" si="3"/>
        <v>1.2</v>
      </c>
      <c r="M13" s="48">
        <v>6.4</v>
      </c>
      <c r="N13" s="72">
        <v>2</v>
      </c>
      <c r="O13" s="58">
        <v>5</v>
      </c>
      <c r="P13" s="10">
        <v>9</v>
      </c>
      <c r="Q13" s="10">
        <v>8</v>
      </c>
      <c r="R13" s="69">
        <f t="shared" si="4"/>
        <v>4</v>
      </c>
      <c r="S13" s="48">
        <f t="shared" si="5"/>
        <v>-5</v>
      </c>
      <c r="T13" s="48">
        <v>13</v>
      </c>
      <c r="U13" s="72">
        <v>3</v>
      </c>
      <c r="V13" s="59">
        <v>30.1</v>
      </c>
      <c r="W13" s="10">
        <v>100</v>
      </c>
      <c r="X13" s="10">
        <v>80.1</v>
      </c>
      <c r="Y13" s="69">
        <f t="shared" si="6"/>
        <v>69.9</v>
      </c>
      <c r="Z13" s="48">
        <f t="shared" si="7"/>
        <v>67.6</v>
      </c>
      <c r="AA13" s="48">
        <v>12.5</v>
      </c>
      <c r="AB13" s="72">
        <v>3</v>
      </c>
      <c r="AC13" s="59">
        <v>10000</v>
      </c>
      <c r="AD13" s="10">
        <v>20000</v>
      </c>
      <c r="AE13" s="10">
        <v>18000</v>
      </c>
      <c r="AF13" s="69">
        <f t="shared" si="8"/>
        <v>10000</v>
      </c>
      <c r="AG13" s="48">
        <f t="shared" si="9"/>
        <v>17898</v>
      </c>
      <c r="AH13" s="48">
        <v>102</v>
      </c>
      <c r="AI13" s="72">
        <v>3</v>
      </c>
      <c r="AJ13" s="59">
        <v>0.1</v>
      </c>
      <c r="AK13" s="10">
        <v>0.5</v>
      </c>
      <c r="AL13" s="10">
        <v>0.2</v>
      </c>
      <c r="AM13" s="69">
        <f t="shared" si="10"/>
        <v>0.4</v>
      </c>
      <c r="AN13" s="48">
        <f t="shared" si="11"/>
        <v>-3</v>
      </c>
      <c r="AO13" s="48">
        <v>3.2</v>
      </c>
      <c r="AP13" s="72">
        <v>3</v>
      </c>
      <c r="AQ13" s="46">
        <v>100</v>
      </c>
      <c r="AR13" s="1">
        <v>800</v>
      </c>
      <c r="AS13" s="1">
        <v>600</v>
      </c>
      <c r="AT13" s="47">
        <f t="shared" si="12"/>
        <v>700</v>
      </c>
      <c r="AU13" s="48">
        <f t="shared" si="13"/>
        <v>-187</v>
      </c>
      <c r="AV13" s="48">
        <v>787</v>
      </c>
      <c r="AW13" s="72">
        <v>2</v>
      </c>
      <c r="AX13" s="74">
        <v>5</v>
      </c>
      <c r="AY13" s="72">
        <v>3</v>
      </c>
      <c r="AZ13" s="70">
        <v>2</v>
      </c>
      <c r="BA13" s="71">
        <v>2</v>
      </c>
    </row>
    <row r="14" spans="1:53">
      <c r="A14" s="57">
        <v>14.25</v>
      </c>
      <c r="B14" s="9">
        <v>15.65</v>
      </c>
      <c r="C14" s="9">
        <v>14.75</v>
      </c>
      <c r="D14" s="76">
        <f t="shared" si="0"/>
        <v>1.4</v>
      </c>
      <c r="E14" s="48">
        <f t="shared" si="1"/>
        <v>0.630000000000001</v>
      </c>
      <c r="F14" s="10">
        <v>14.12</v>
      </c>
      <c r="G14" s="72">
        <v>3</v>
      </c>
      <c r="H14" s="60">
        <v>6.2</v>
      </c>
      <c r="I14" s="1">
        <v>6.5</v>
      </c>
      <c r="J14" s="1">
        <v>6.3</v>
      </c>
      <c r="K14" s="68">
        <f t="shared" si="2"/>
        <v>0.3</v>
      </c>
      <c r="L14" s="48">
        <f t="shared" si="3"/>
        <v>-0.100000000000001</v>
      </c>
      <c r="M14" s="48">
        <v>6.4</v>
      </c>
      <c r="N14" s="72">
        <v>2</v>
      </c>
      <c r="O14" s="55">
        <v>8</v>
      </c>
      <c r="P14" s="9">
        <v>12</v>
      </c>
      <c r="Q14" s="9">
        <v>10</v>
      </c>
      <c r="R14" s="56">
        <f t="shared" si="4"/>
        <v>4</v>
      </c>
      <c r="S14" s="48">
        <f t="shared" si="5"/>
        <v>-3</v>
      </c>
      <c r="T14" s="48">
        <v>13</v>
      </c>
      <c r="U14" s="72">
        <v>3</v>
      </c>
      <c r="V14" s="57">
        <v>7.3</v>
      </c>
      <c r="W14" s="9">
        <v>8.5</v>
      </c>
      <c r="X14" s="9">
        <v>7.6</v>
      </c>
      <c r="Y14" s="56">
        <f t="shared" si="6"/>
        <v>1.2</v>
      </c>
      <c r="Z14" s="48">
        <f t="shared" si="7"/>
        <v>-4.9</v>
      </c>
      <c r="AA14" s="48">
        <v>12.5</v>
      </c>
      <c r="AB14" s="72">
        <v>3</v>
      </c>
      <c r="AC14" s="57">
        <v>4</v>
      </c>
      <c r="AD14" s="9">
        <v>7</v>
      </c>
      <c r="AE14" s="9">
        <v>4.2</v>
      </c>
      <c r="AF14" s="56">
        <f t="shared" si="8"/>
        <v>3</v>
      </c>
      <c r="AG14" s="48">
        <f t="shared" si="9"/>
        <v>-97.8</v>
      </c>
      <c r="AH14" s="48">
        <v>102</v>
      </c>
      <c r="AI14" s="72">
        <v>3</v>
      </c>
      <c r="AJ14" s="46">
        <v>2.3</v>
      </c>
      <c r="AK14" s="1">
        <v>4.5</v>
      </c>
      <c r="AL14" s="1">
        <v>2.8</v>
      </c>
      <c r="AM14" s="47">
        <f t="shared" si="10"/>
        <v>2.2</v>
      </c>
      <c r="AN14" s="48">
        <f t="shared" si="11"/>
        <v>-0.4</v>
      </c>
      <c r="AO14" s="48">
        <v>3.2</v>
      </c>
      <c r="AP14" s="72">
        <v>2</v>
      </c>
      <c r="AQ14" s="46">
        <v>700</v>
      </c>
      <c r="AR14" s="1">
        <v>900</v>
      </c>
      <c r="AS14" s="1">
        <v>800</v>
      </c>
      <c r="AT14" s="47">
        <f t="shared" si="12"/>
        <v>200</v>
      </c>
      <c r="AU14" s="48">
        <f t="shared" si="13"/>
        <v>13</v>
      </c>
      <c r="AV14" s="48">
        <v>787</v>
      </c>
      <c r="AW14" s="72">
        <v>2</v>
      </c>
      <c r="AX14" s="74">
        <v>6</v>
      </c>
      <c r="AY14" s="72">
        <v>3</v>
      </c>
      <c r="AZ14" s="77">
        <v>2</v>
      </c>
      <c r="BA14" s="78">
        <v>2</v>
      </c>
    </row>
    <row r="15" spans="1:53">
      <c r="A15" s="57">
        <v>13.79</v>
      </c>
      <c r="B15" s="9">
        <v>13.99</v>
      </c>
      <c r="C15" s="9">
        <v>13.95</v>
      </c>
      <c r="D15" s="76">
        <f t="shared" si="0"/>
        <v>0.200000000000001</v>
      </c>
      <c r="E15" s="48">
        <f t="shared" si="1"/>
        <v>-0.17</v>
      </c>
      <c r="F15" s="10">
        <v>14.12</v>
      </c>
      <c r="G15" s="72">
        <v>3</v>
      </c>
      <c r="H15" s="55">
        <v>6.6</v>
      </c>
      <c r="I15" s="9">
        <v>6.8</v>
      </c>
      <c r="J15" s="9">
        <v>6.75</v>
      </c>
      <c r="K15" s="76">
        <f t="shared" si="2"/>
        <v>0.2</v>
      </c>
      <c r="L15" s="48">
        <f t="shared" si="3"/>
        <v>0.35</v>
      </c>
      <c r="M15" s="48">
        <v>6.4</v>
      </c>
      <c r="N15" s="72">
        <v>3</v>
      </c>
      <c r="O15" s="60">
        <v>7</v>
      </c>
      <c r="P15" s="1">
        <v>15</v>
      </c>
      <c r="Q15" s="1">
        <v>12</v>
      </c>
      <c r="R15" s="47">
        <f t="shared" si="4"/>
        <v>8</v>
      </c>
      <c r="S15" s="48">
        <f t="shared" si="5"/>
        <v>-1</v>
      </c>
      <c r="T15" s="48">
        <v>13</v>
      </c>
      <c r="U15" s="72">
        <v>2</v>
      </c>
      <c r="V15" s="57">
        <v>9.1</v>
      </c>
      <c r="W15" s="9">
        <v>9.8</v>
      </c>
      <c r="X15" s="9">
        <v>9.5</v>
      </c>
      <c r="Y15" s="56">
        <f t="shared" si="6"/>
        <v>0.700000000000001</v>
      </c>
      <c r="Z15" s="48">
        <f t="shared" si="7"/>
        <v>-3</v>
      </c>
      <c r="AA15" s="48">
        <v>12.5</v>
      </c>
      <c r="AB15" s="72">
        <v>3</v>
      </c>
      <c r="AC15" s="46">
        <v>102</v>
      </c>
      <c r="AD15" s="1">
        <v>110</v>
      </c>
      <c r="AE15" s="1">
        <v>105</v>
      </c>
      <c r="AF15" s="47">
        <f t="shared" si="8"/>
        <v>8</v>
      </c>
      <c r="AG15" s="48">
        <f t="shared" si="9"/>
        <v>3</v>
      </c>
      <c r="AH15" s="48">
        <v>102</v>
      </c>
      <c r="AI15" s="72">
        <v>2</v>
      </c>
      <c r="AJ15" s="46">
        <v>2.1</v>
      </c>
      <c r="AK15" s="1">
        <v>4.3</v>
      </c>
      <c r="AL15" s="1">
        <v>3.2</v>
      </c>
      <c r="AM15" s="47">
        <f t="shared" si="10"/>
        <v>2.2</v>
      </c>
      <c r="AN15" s="48">
        <f t="shared" si="11"/>
        <v>0</v>
      </c>
      <c r="AO15" s="48">
        <v>3.2</v>
      </c>
      <c r="AP15" s="72">
        <v>2</v>
      </c>
      <c r="AQ15" s="57">
        <v>430</v>
      </c>
      <c r="AR15" s="9">
        <v>480</v>
      </c>
      <c r="AS15" s="9">
        <v>460</v>
      </c>
      <c r="AT15" s="56">
        <f t="shared" si="12"/>
        <v>50</v>
      </c>
      <c r="AU15" s="48">
        <f t="shared" si="13"/>
        <v>-327</v>
      </c>
      <c r="AV15" s="48">
        <v>787</v>
      </c>
      <c r="AW15" s="72">
        <v>3</v>
      </c>
      <c r="AX15" s="74">
        <v>6</v>
      </c>
      <c r="AY15" s="72">
        <v>3</v>
      </c>
      <c r="AZ15" s="77">
        <v>2</v>
      </c>
      <c r="BA15" s="78">
        <v>3</v>
      </c>
    </row>
    <row r="16" spans="1:53">
      <c r="A16" s="46">
        <v>13.8</v>
      </c>
      <c r="B16" s="1">
        <v>14.8</v>
      </c>
      <c r="C16" s="1">
        <v>14</v>
      </c>
      <c r="D16" s="68">
        <f t="shared" si="0"/>
        <v>1</v>
      </c>
      <c r="E16" s="48">
        <f t="shared" si="1"/>
        <v>-0.119999999999999</v>
      </c>
      <c r="F16" s="10">
        <v>14.12</v>
      </c>
      <c r="G16" s="72">
        <v>1</v>
      </c>
      <c r="H16" s="58">
        <v>6.7</v>
      </c>
      <c r="I16" s="10">
        <v>7</v>
      </c>
      <c r="J16" s="10">
        <v>6.8</v>
      </c>
      <c r="K16" s="73">
        <f t="shared" si="2"/>
        <v>0.3</v>
      </c>
      <c r="L16" s="48">
        <f t="shared" si="3"/>
        <v>0.399999999999999</v>
      </c>
      <c r="M16" s="48">
        <v>6.4</v>
      </c>
      <c r="N16" s="72">
        <v>2</v>
      </c>
      <c r="O16" s="60">
        <v>10</v>
      </c>
      <c r="P16" s="1">
        <v>15</v>
      </c>
      <c r="Q16" s="1">
        <v>12</v>
      </c>
      <c r="R16" s="47">
        <f t="shared" si="4"/>
        <v>5</v>
      </c>
      <c r="S16" s="48">
        <f t="shared" si="5"/>
        <v>-1</v>
      </c>
      <c r="T16" s="48">
        <v>13</v>
      </c>
      <c r="U16" s="72">
        <v>1</v>
      </c>
      <c r="V16" s="59">
        <v>15</v>
      </c>
      <c r="W16" s="10">
        <v>20</v>
      </c>
      <c r="X16" s="10">
        <v>18</v>
      </c>
      <c r="Y16" s="69">
        <f t="shared" si="6"/>
        <v>5</v>
      </c>
      <c r="Z16" s="48">
        <f t="shared" si="7"/>
        <v>5.5</v>
      </c>
      <c r="AA16" s="48">
        <v>12.5</v>
      </c>
      <c r="AB16" s="72">
        <v>2</v>
      </c>
      <c r="AC16" s="59">
        <v>300</v>
      </c>
      <c r="AD16" s="10">
        <v>500</v>
      </c>
      <c r="AE16" s="10">
        <v>400</v>
      </c>
      <c r="AF16" s="69">
        <f t="shared" si="8"/>
        <v>200</v>
      </c>
      <c r="AG16" s="48">
        <f t="shared" si="9"/>
        <v>298</v>
      </c>
      <c r="AH16" s="48">
        <v>102</v>
      </c>
      <c r="AI16" s="72">
        <v>2</v>
      </c>
      <c r="AJ16" s="59">
        <v>5</v>
      </c>
      <c r="AK16" s="10">
        <v>6</v>
      </c>
      <c r="AL16" s="10">
        <v>5.8</v>
      </c>
      <c r="AM16" s="69">
        <f t="shared" si="10"/>
        <v>1</v>
      </c>
      <c r="AN16" s="48">
        <f t="shared" si="11"/>
        <v>2.6</v>
      </c>
      <c r="AO16" s="48">
        <v>3.2</v>
      </c>
      <c r="AP16" s="72">
        <v>2</v>
      </c>
      <c r="AQ16" s="59">
        <v>280</v>
      </c>
      <c r="AR16" s="10">
        <v>350</v>
      </c>
      <c r="AS16" s="10">
        <v>300</v>
      </c>
      <c r="AT16" s="69">
        <f t="shared" si="12"/>
        <v>70</v>
      </c>
      <c r="AU16" s="48">
        <f t="shared" si="13"/>
        <v>-487</v>
      </c>
      <c r="AV16" s="48">
        <v>787</v>
      </c>
      <c r="AW16" s="72">
        <v>2</v>
      </c>
      <c r="AX16" s="74">
        <v>6</v>
      </c>
      <c r="AY16" s="72">
        <v>2</v>
      </c>
      <c r="AZ16" s="70">
        <v>3</v>
      </c>
      <c r="BA16" s="71">
        <v>2</v>
      </c>
    </row>
    <row r="17" spans="1:53">
      <c r="A17" s="46">
        <v>13.9</v>
      </c>
      <c r="B17" s="1">
        <v>14.5</v>
      </c>
      <c r="C17" s="1">
        <v>14</v>
      </c>
      <c r="D17" s="68">
        <f t="shared" si="0"/>
        <v>0.6</v>
      </c>
      <c r="E17" s="48">
        <f t="shared" si="1"/>
        <v>-0.119999999999999</v>
      </c>
      <c r="F17" s="10">
        <v>14.12</v>
      </c>
      <c r="G17" s="72">
        <v>1</v>
      </c>
      <c r="H17" s="58">
        <v>6.5</v>
      </c>
      <c r="I17" s="10">
        <v>6.9</v>
      </c>
      <c r="J17" s="10">
        <v>6.7</v>
      </c>
      <c r="K17" s="73">
        <f t="shared" si="2"/>
        <v>0.4</v>
      </c>
      <c r="L17" s="48">
        <f t="shared" si="3"/>
        <v>0.3</v>
      </c>
      <c r="M17" s="48">
        <v>6.4</v>
      </c>
      <c r="N17" s="72">
        <v>2</v>
      </c>
      <c r="O17" s="60">
        <v>10</v>
      </c>
      <c r="P17" s="1">
        <v>25</v>
      </c>
      <c r="Q17" s="1">
        <v>17</v>
      </c>
      <c r="R17" s="47">
        <f t="shared" si="4"/>
        <v>15</v>
      </c>
      <c r="S17" s="48">
        <f t="shared" si="5"/>
        <v>4</v>
      </c>
      <c r="T17" s="48">
        <v>13</v>
      </c>
      <c r="U17" s="72">
        <v>1</v>
      </c>
      <c r="V17" s="59">
        <v>1.5</v>
      </c>
      <c r="W17" s="10">
        <v>2.5</v>
      </c>
      <c r="X17" s="10">
        <v>2</v>
      </c>
      <c r="Y17" s="69">
        <f t="shared" si="6"/>
        <v>1</v>
      </c>
      <c r="Z17" s="48">
        <f t="shared" si="7"/>
        <v>-10.5</v>
      </c>
      <c r="AA17" s="48">
        <v>12.5</v>
      </c>
      <c r="AB17" s="72">
        <v>2</v>
      </c>
      <c r="AC17" s="59">
        <v>1000</v>
      </c>
      <c r="AD17" s="10">
        <v>2000</v>
      </c>
      <c r="AE17" s="10">
        <v>2000</v>
      </c>
      <c r="AF17" s="69">
        <f t="shared" si="8"/>
        <v>1000</v>
      </c>
      <c r="AG17" s="48">
        <f t="shared" si="9"/>
        <v>1898</v>
      </c>
      <c r="AH17" s="48">
        <v>102</v>
      </c>
      <c r="AI17" s="72">
        <v>2</v>
      </c>
      <c r="AJ17" s="59">
        <v>0.2</v>
      </c>
      <c r="AK17" s="10">
        <v>0.3</v>
      </c>
      <c r="AL17" s="10">
        <v>0.27</v>
      </c>
      <c r="AM17" s="69">
        <f t="shared" si="10"/>
        <v>0.1</v>
      </c>
      <c r="AN17" s="48">
        <f t="shared" si="11"/>
        <v>-2.93</v>
      </c>
      <c r="AO17" s="48">
        <v>3.2</v>
      </c>
      <c r="AP17" s="72">
        <v>2</v>
      </c>
      <c r="AQ17" s="59">
        <v>900</v>
      </c>
      <c r="AR17" s="10">
        <v>1600</v>
      </c>
      <c r="AS17" s="10">
        <v>1300</v>
      </c>
      <c r="AT17" s="69">
        <f t="shared" si="12"/>
        <v>700</v>
      </c>
      <c r="AU17" s="48">
        <f t="shared" si="13"/>
        <v>513</v>
      </c>
      <c r="AV17" s="48">
        <v>787</v>
      </c>
      <c r="AW17" s="72">
        <v>2</v>
      </c>
      <c r="AX17" s="74">
        <v>4</v>
      </c>
      <c r="AY17" s="72">
        <v>2</v>
      </c>
      <c r="AZ17" s="70">
        <v>2</v>
      </c>
      <c r="BA17" s="71">
        <v>2</v>
      </c>
    </row>
    <row r="18" spans="1:53">
      <c r="A18" s="46">
        <v>13.69</v>
      </c>
      <c r="B18" s="1">
        <v>14.75</v>
      </c>
      <c r="C18" s="1">
        <v>14.12</v>
      </c>
      <c r="D18" s="68">
        <f t="shared" si="0"/>
        <v>1.06</v>
      </c>
      <c r="E18" s="48">
        <f t="shared" si="1"/>
        <v>0</v>
      </c>
      <c r="F18" s="10">
        <v>14.12</v>
      </c>
      <c r="G18" s="72">
        <v>1</v>
      </c>
      <c r="H18" s="58">
        <v>6.9</v>
      </c>
      <c r="I18" s="10">
        <v>7.5</v>
      </c>
      <c r="J18" s="10">
        <v>7.1</v>
      </c>
      <c r="K18" s="73">
        <f t="shared" si="2"/>
        <v>0.6</v>
      </c>
      <c r="L18" s="48">
        <f t="shared" si="3"/>
        <v>0.699999999999999</v>
      </c>
      <c r="M18" s="48">
        <v>6.4</v>
      </c>
      <c r="N18" s="72">
        <v>2</v>
      </c>
      <c r="O18" s="58">
        <v>14</v>
      </c>
      <c r="P18" s="10">
        <v>35</v>
      </c>
      <c r="Q18" s="10">
        <v>21</v>
      </c>
      <c r="R18" s="69">
        <f t="shared" si="4"/>
        <v>21</v>
      </c>
      <c r="S18" s="48">
        <f t="shared" si="5"/>
        <v>8</v>
      </c>
      <c r="T18" s="48">
        <v>13</v>
      </c>
      <c r="U18" s="72">
        <v>2</v>
      </c>
      <c r="V18" s="59">
        <v>6.8</v>
      </c>
      <c r="W18" s="10">
        <v>8.1</v>
      </c>
      <c r="X18" s="10">
        <v>7.4</v>
      </c>
      <c r="Y18" s="69">
        <f t="shared" si="6"/>
        <v>1.3</v>
      </c>
      <c r="Z18" s="48">
        <f t="shared" si="7"/>
        <v>-5.1</v>
      </c>
      <c r="AA18" s="48">
        <v>12.5</v>
      </c>
      <c r="AB18" s="72">
        <v>2</v>
      </c>
      <c r="AC18" s="59">
        <v>50</v>
      </c>
      <c r="AD18" s="10">
        <v>70</v>
      </c>
      <c r="AE18" s="10">
        <v>63</v>
      </c>
      <c r="AF18" s="69">
        <f t="shared" si="8"/>
        <v>20</v>
      </c>
      <c r="AG18" s="48">
        <f t="shared" si="9"/>
        <v>-39</v>
      </c>
      <c r="AH18" s="48">
        <v>102</v>
      </c>
      <c r="AI18" s="72">
        <v>2</v>
      </c>
      <c r="AJ18" s="46">
        <v>1.7</v>
      </c>
      <c r="AK18" s="1">
        <v>3.4</v>
      </c>
      <c r="AL18" s="1">
        <v>2.3</v>
      </c>
      <c r="AM18" s="47">
        <f t="shared" si="10"/>
        <v>1.7</v>
      </c>
      <c r="AN18" s="48">
        <f t="shared" si="11"/>
        <v>-0.9</v>
      </c>
      <c r="AO18" s="48">
        <v>3.2</v>
      </c>
      <c r="AP18" s="72">
        <v>1</v>
      </c>
      <c r="AQ18" s="59">
        <v>900</v>
      </c>
      <c r="AR18" s="10">
        <v>1000</v>
      </c>
      <c r="AS18" s="10">
        <v>975</v>
      </c>
      <c r="AT18" s="69">
        <f t="shared" si="12"/>
        <v>100</v>
      </c>
      <c r="AU18" s="48">
        <f t="shared" si="13"/>
        <v>188</v>
      </c>
      <c r="AV18" s="48">
        <v>787</v>
      </c>
      <c r="AW18" s="72">
        <v>2</v>
      </c>
      <c r="AX18" s="74">
        <v>4</v>
      </c>
      <c r="AY18" s="72">
        <v>2</v>
      </c>
      <c r="AZ18" s="70">
        <v>4</v>
      </c>
      <c r="BA18" s="71">
        <v>4</v>
      </c>
    </row>
    <row r="19" spans="1:53">
      <c r="A19" s="59">
        <v>14.5</v>
      </c>
      <c r="B19" s="10">
        <v>16.98</v>
      </c>
      <c r="C19" s="10">
        <v>15</v>
      </c>
      <c r="D19" s="73">
        <f t="shared" si="0"/>
        <v>2.48</v>
      </c>
      <c r="E19" s="48">
        <f t="shared" si="1"/>
        <v>0.880000000000001</v>
      </c>
      <c r="F19" s="10">
        <v>14.12</v>
      </c>
      <c r="G19" s="72">
        <v>2</v>
      </c>
      <c r="H19" s="60">
        <v>6.01</v>
      </c>
      <c r="I19" s="1">
        <v>6.98</v>
      </c>
      <c r="J19" s="1">
        <v>6.75</v>
      </c>
      <c r="K19" s="68">
        <f t="shared" si="2"/>
        <v>0.970000000000001</v>
      </c>
      <c r="L19" s="48">
        <f t="shared" si="3"/>
        <v>0.35</v>
      </c>
      <c r="M19" s="48">
        <v>6.4</v>
      </c>
      <c r="N19" s="72">
        <v>1</v>
      </c>
      <c r="O19" s="60">
        <v>7</v>
      </c>
      <c r="P19" s="1">
        <v>13</v>
      </c>
      <c r="Q19" s="1">
        <v>10</v>
      </c>
      <c r="R19" s="47">
        <f t="shared" si="4"/>
        <v>6</v>
      </c>
      <c r="S19" s="48">
        <f t="shared" si="5"/>
        <v>-3</v>
      </c>
      <c r="T19" s="48">
        <v>13</v>
      </c>
      <c r="U19" s="72">
        <v>1</v>
      </c>
      <c r="V19" s="59">
        <v>20</v>
      </c>
      <c r="W19" s="10">
        <v>30</v>
      </c>
      <c r="X19" s="10">
        <v>25</v>
      </c>
      <c r="Y19" s="69">
        <f t="shared" si="6"/>
        <v>10</v>
      </c>
      <c r="Z19" s="48">
        <f t="shared" si="7"/>
        <v>12.5</v>
      </c>
      <c r="AA19" s="48">
        <v>12.5</v>
      </c>
      <c r="AB19" s="72">
        <v>2</v>
      </c>
      <c r="AC19" s="59">
        <v>300</v>
      </c>
      <c r="AD19" s="10">
        <v>400</v>
      </c>
      <c r="AE19" s="10">
        <v>350</v>
      </c>
      <c r="AF19" s="69">
        <f t="shared" si="8"/>
        <v>100</v>
      </c>
      <c r="AG19" s="48">
        <f t="shared" si="9"/>
        <v>248</v>
      </c>
      <c r="AH19" s="48">
        <v>102</v>
      </c>
      <c r="AI19" s="72">
        <v>2</v>
      </c>
      <c r="AJ19" s="59">
        <v>3.65</v>
      </c>
      <c r="AK19" s="10">
        <v>5.31</v>
      </c>
      <c r="AL19" s="10">
        <v>3.98</v>
      </c>
      <c r="AM19" s="69">
        <f t="shared" si="10"/>
        <v>1.66</v>
      </c>
      <c r="AN19" s="48">
        <f t="shared" si="11"/>
        <v>0.78</v>
      </c>
      <c r="AO19" s="48">
        <v>3.2</v>
      </c>
      <c r="AP19" s="72">
        <v>2</v>
      </c>
      <c r="AQ19" s="59">
        <v>2300</v>
      </c>
      <c r="AR19" s="10">
        <v>3000</v>
      </c>
      <c r="AS19" s="10">
        <v>2500</v>
      </c>
      <c r="AT19" s="69">
        <f t="shared" si="12"/>
        <v>700</v>
      </c>
      <c r="AU19" s="48">
        <f t="shared" si="13"/>
        <v>1713</v>
      </c>
      <c r="AV19" s="48">
        <v>787</v>
      </c>
      <c r="AW19" s="72">
        <v>2</v>
      </c>
      <c r="AX19" s="74">
        <v>4</v>
      </c>
      <c r="AY19" s="72">
        <v>2</v>
      </c>
      <c r="AZ19" s="70">
        <v>3</v>
      </c>
      <c r="BA19" s="71">
        <v>3</v>
      </c>
    </row>
    <row r="20" spans="1:53">
      <c r="A20" s="46">
        <v>14.1</v>
      </c>
      <c r="B20" s="1">
        <v>14.5</v>
      </c>
      <c r="C20" s="1">
        <v>14.3</v>
      </c>
      <c r="D20" s="68">
        <f t="shared" si="0"/>
        <v>0.4</v>
      </c>
      <c r="E20" s="48">
        <f t="shared" si="1"/>
        <v>0.180000000000001</v>
      </c>
      <c r="F20" s="10">
        <v>14.12</v>
      </c>
      <c r="G20" s="72">
        <v>1</v>
      </c>
      <c r="H20" s="58">
        <v>6.8</v>
      </c>
      <c r="I20" s="10">
        <v>7.3</v>
      </c>
      <c r="J20" s="10">
        <v>7</v>
      </c>
      <c r="K20" s="73">
        <f t="shared" si="2"/>
        <v>0.5</v>
      </c>
      <c r="L20" s="48">
        <f t="shared" si="3"/>
        <v>0.6</v>
      </c>
      <c r="M20" s="48">
        <v>6.4</v>
      </c>
      <c r="N20" s="72">
        <v>2</v>
      </c>
      <c r="O20" s="60">
        <v>10</v>
      </c>
      <c r="P20" s="1">
        <v>20</v>
      </c>
      <c r="Q20" s="1">
        <v>15</v>
      </c>
      <c r="R20" s="47">
        <f t="shared" si="4"/>
        <v>10</v>
      </c>
      <c r="S20" s="48">
        <f t="shared" si="5"/>
        <v>2</v>
      </c>
      <c r="T20" s="48">
        <v>13</v>
      </c>
      <c r="U20" s="72">
        <v>1</v>
      </c>
      <c r="V20" s="59">
        <v>50</v>
      </c>
      <c r="W20" s="10">
        <v>200</v>
      </c>
      <c r="X20" s="10">
        <v>100</v>
      </c>
      <c r="Y20" s="69">
        <f t="shared" si="6"/>
        <v>150</v>
      </c>
      <c r="Z20" s="48">
        <f t="shared" si="7"/>
        <v>87.5</v>
      </c>
      <c r="AA20" s="48">
        <v>12.5</v>
      </c>
      <c r="AB20" s="72">
        <v>2</v>
      </c>
      <c r="AC20" s="59">
        <v>200</v>
      </c>
      <c r="AD20" s="10">
        <v>500</v>
      </c>
      <c r="AE20" s="10">
        <v>400</v>
      </c>
      <c r="AF20" s="69">
        <f t="shared" si="8"/>
        <v>300</v>
      </c>
      <c r="AG20" s="48">
        <f t="shared" si="9"/>
        <v>298</v>
      </c>
      <c r="AH20" s="48">
        <v>102</v>
      </c>
      <c r="AI20" s="72">
        <v>2</v>
      </c>
      <c r="AJ20" s="59">
        <v>5.5</v>
      </c>
      <c r="AK20" s="10">
        <v>20.5</v>
      </c>
      <c r="AL20" s="10">
        <v>15.5</v>
      </c>
      <c r="AM20" s="69">
        <f t="shared" si="10"/>
        <v>15</v>
      </c>
      <c r="AN20" s="48">
        <f t="shared" si="11"/>
        <v>12.3</v>
      </c>
      <c r="AO20" s="48">
        <v>3.2</v>
      </c>
      <c r="AP20" s="72">
        <v>2</v>
      </c>
      <c r="AQ20" s="59">
        <v>10</v>
      </c>
      <c r="AR20" s="10">
        <v>30</v>
      </c>
      <c r="AS20" s="10">
        <v>25</v>
      </c>
      <c r="AT20" s="69">
        <f t="shared" si="12"/>
        <v>20</v>
      </c>
      <c r="AU20" s="48">
        <f t="shared" si="13"/>
        <v>-762</v>
      </c>
      <c r="AV20" s="48">
        <v>787</v>
      </c>
      <c r="AW20" s="72">
        <v>2</v>
      </c>
      <c r="AX20" s="74">
        <v>4</v>
      </c>
      <c r="AY20" s="72">
        <v>2</v>
      </c>
      <c r="AZ20" s="70">
        <v>2</v>
      </c>
      <c r="BA20" s="71">
        <v>2</v>
      </c>
    </row>
    <row r="21" spans="1:53">
      <c r="A21" s="64">
        <v>12.5</v>
      </c>
      <c r="B21" s="65">
        <v>14.3</v>
      </c>
      <c r="C21" s="65">
        <v>13.5</v>
      </c>
      <c r="D21" s="66">
        <f t="shared" si="0"/>
        <v>1.8</v>
      </c>
      <c r="E21" s="48">
        <f t="shared" si="1"/>
        <v>-0.619999999999999</v>
      </c>
      <c r="F21" s="10">
        <v>14.12</v>
      </c>
      <c r="G21" s="72">
        <v>1</v>
      </c>
      <c r="H21" s="60">
        <v>6.15</v>
      </c>
      <c r="I21" s="1">
        <v>6.9</v>
      </c>
      <c r="J21" s="1">
        <v>6.5</v>
      </c>
      <c r="K21" s="68">
        <f t="shared" si="2"/>
        <v>0.75</v>
      </c>
      <c r="L21" s="48">
        <f t="shared" si="3"/>
        <v>0.0999999999999996</v>
      </c>
      <c r="M21" s="48">
        <v>6.4</v>
      </c>
      <c r="N21" s="72">
        <v>1</v>
      </c>
      <c r="O21" s="58">
        <v>6</v>
      </c>
      <c r="P21" s="10">
        <v>10</v>
      </c>
      <c r="Q21" s="10">
        <v>9</v>
      </c>
      <c r="R21" s="69">
        <f t="shared" si="4"/>
        <v>4</v>
      </c>
      <c r="S21" s="48">
        <f t="shared" si="5"/>
        <v>-4</v>
      </c>
      <c r="T21" s="48">
        <v>13</v>
      </c>
      <c r="U21" s="72">
        <v>2</v>
      </c>
      <c r="V21" s="59">
        <v>6.1</v>
      </c>
      <c r="W21" s="10">
        <v>10</v>
      </c>
      <c r="X21" s="10">
        <v>7.5</v>
      </c>
      <c r="Y21" s="69">
        <f t="shared" si="6"/>
        <v>3.9</v>
      </c>
      <c r="Z21" s="48">
        <f t="shared" si="7"/>
        <v>-5</v>
      </c>
      <c r="AA21" s="48">
        <v>12.5</v>
      </c>
      <c r="AB21" s="72">
        <v>2</v>
      </c>
      <c r="AC21" s="59">
        <v>4</v>
      </c>
      <c r="AD21" s="10">
        <v>6</v>
      </c>
      <c r="AE21" s="10">
        <v>5.5</v>
      </c>
      <c r="AF21" s="69">
        <f t="shared" si="8"/>
        <v>2</v>
      </c>
      <c r="AG21" s="48">
        <f t="shared" si="9"/>
        <v>-96.5</v>
      </c>
      <c r="AH21" s="48">
        <v>102</v>
      </c>
      <c r="AI21" s="72">
        <v>2</v>
      </c>
      <c r="AJ21" s="59">
        <v>0.5</v>
      </c>
      <c r="AK21" s="10">
        <v>1</v>
      </c>
      <c r="AL21" s="10">
        <v>0.8</v>
      </c>
      <c r="AM21" s="69">
        <f t="shared" si="10"/>
        <v>0.5</v>
      </c>
      <c r="AN21" s="48">
        <f t="shared" si="11"/>
        <v>-2.4</v>
      </c>
      <c r="AO21" s="48">
        <v>3.2</v>
      </c>
      <c r="AP21" s="72">
        <v>2</v>
      </c>
      <c r="AQ21" s="59">
        <v>30</v>
      </c>
      <c r="AR21" s="10">
        <v>100</v>
      </c>
      <c r="AS21" s="10">
        <v>80</v>
      </c>
      <c r="AT21" s="69">
        <f t="shared" si="12"/>
        <v>70</v>
      </c>
      <c r="AU21" s="48">
        <f t="shared" si="13"/>
        <v>-707</v>
      </c>
      <c r="AV21" s="48">
        <v>787</v>
      </c>
      <c r="AW21" s="72">
        <v>2</v>
      </c>
      <c r="AX21" s="74">
        <v>7</v>
      </c>
      <c r="AY21" s="72">
        <v>2</v>
      </c>
      <c r="AZ21" s="70">
        <v>2</v>
      </c>
      <c r="BA21" s="71">
        <v>2</v>
      </c>
    </row>
    <row r="22" spans="1:53">
      <c r="A22" s="46">
        <v>14</v>
      </c>
      <c r="B22" s="1">
        <v>14.5</v>
      </c>
      <c r="C22" s="1">
        <v>14.45</v>
      </c>
      <c r="D22" s="68">
        <f t="shared" si="0"/>
        <v>0.5</v>
      </c>
      <c r="E22" s="48">
        <f t="shared" si="1"/>
        <v>0.33</v>
      </c>
      <c r="F22" s="10">
        <v>14.12</v>
      </c>
      <c r="G22" s="72">
        <v>1</v>
      </c>
      <c r="H22" s="60">
        <v>6</v>
      </c>
      <c r="I22" s="1">
        <v>6.4</v>
      </c>
      <c r="J22" s="1">
        <v>6.2</v>
      </c>
      <c r="K22" s="68">
        <f t="shared" si="2"/>
        <v>0.4</v>
      </c>
      <c r="L22" s="48">
        <f t="shared" si="3"/>
        <v>-0.2</v>
      </c>
      <c r="M22" s="48">
        <v>6.4</v>
      </c>
      <c r="N22" s="72">
        <v>1</v>
      </c>
      <c r="O22" s="58">
        <v>15</v>
      </c>
      <c r="P22" s="10">
        <v>50</v>
      </c>
      <c r="Q22" s="10">
        <v>25</v>
      </c>
      <c r="R22" s="69">
        <f t="shared" si="4"/>
        <v>35</v>
      </c>
      <c r="S22" s="48">
        <f t="shared" si="5"/>
        <v>12</v>
      </c>
      <c r="T22" s="48">
        <v>13</v>
      </c>
      <c r="U22" s="72">
        <v>2</v>
      </c>
      <c r="V22" s="59">
        <v>8</v>
      </c>
      <c r="W22" s="10">
        <v>9</v>
      </c>
      <c r="X22" s="10">
        <v>8.5</v>
      </c>
      <c r="Y22" s="69">
        <f t="shared" si="6"/>
        <v>1</v>
      </c>
      <c r="Z22" s="48">
        <f t="shared" si="7"/>
        <v>-4</v>
      </c>
      <c r="AA22" s="48">
        <v>12.5</v>
      </c>
      <c r="AB22" s="72">
        <v>2</v>
      </c>
      <c r="AC22" s="59">
        <v>50</v>
      </c>
      <c r="AD22" s="10">
        <v>60</v>
      </c>
      <c r="AE22" s="10">
        <v>55</v>
      </c>
      <c r="AF22" s="69">
        <f t="shared" si="8"/>
        <v>10</v>
      </c>
      <c r="AG22" s="48">
        <f t="shared" si="9"/>
        <v>-47</v>
      </c>
      <c r="AH22" s="48">
        <v>102</v>
      </c>
      <c r="AI22" s="72">
        <v>2</v>
      </c>
      <c r="AJ22" s="59">
        <v>5</v>
      </c>
      <c r="AK22" s="10">
        <v>9</v>
      </c>
      <c r="AL22" s="10">
        <v>7.5</v>
      </c>
      <c r="AM22" s="69">
        <f t="shared" si="10"/>
        <v>4</v>
      </c>
      <c r="AN22" s="48">
        <f t="shared" si="11"/>
        <v>4.3</v>
      </c>
      <c r="AO22" s="48">
        <v>3.2</v>
      </c>
      <c r="AP22" s="72">
        <v>2</v>
      </c>
      <c r="AQ22" s="59">
        <v>1000</v>
      </c>
      <c r="AR22" s="10">
        <v>1500</v>
      </c>
      <c r="AS22" s="10">
        <v>1250</v>
      </c>
      <c r="AT22" s="69">
        <f t="shared" si="12"/>
        <v>500</v>
      </c>
      <c r="AU22" s="48">
        <f t="shared" si="13"/>
        <v>463</v>
      </c>
      <c r="AV22" s="48">
        <v>787</v>
      </c>
      <c r="AW22" s="72">
        <v>2</v>
      </c>
      <c r="AX22" s="74">
        <v>5</v>
      </c>
      <c r="AY22" s="72">
        <v>2</v>
      </c>
      <c r="AZ22" s="70">
        <v>2</v>
      </c>
      <c r="BA22" s="71">
        <v>1</v>
      </c>
    </row>
    <row r="23" spans="1:53">
      <c r="A23" s="46">
        <v>14</v>
      </c>
      <c r="B23" s="1">
        <v>14.45</v>
      </c>
      <c r="C23" s="1">
        <v>14.21</v>
      </c>
      <c r="D23" s="68">
        <f t="shared" si="0"/>
        <v>0.449999999999999</v>
      </c>
      <c r="E23" s="48">
        <f t="shared" si="1"/>
        <v>0.0900000000000016</v>
      </c>
      <c r="F23" s="10">
        <v>14.12</v>
      </c>
      <c r="G23" s="72">
        <v>1</v>
      </c>
      <c r="H23" s="58">
        <v>4</v>
      </c>
      <c r="I23" s="10">
        <v>5</v>
      </c>
      <c r="J23" s="10">
        <v>4.22</v>
      </c>
      <c r="K23" s="73">
        <f t="shared" si="2"/>
        <v>1</v>
      </c>
      <c r="L23" s="48">
        <f t="shared" si="3"/>
        <v>-2.18</v>
      </c>
      <c r="M23" s="48">
        <v>6.4</v>
      </c>
      <c r="N23" s="72">
        <v>2</v>
      </c>
      <c r="O23" s="60">
        <v>10</v>
      </c>
      <c r="P23" s="1">
        <v>15</v>
      </c>
      <c r="Q23" s="1">
        <v>12</v>
      </c>
      <c r="R23" s="47">
        <f t="shared" si="4"/>
        <v>5</v>
      </c>
      <c r="S23" s="48">
        <f t="shared" si="5"/>
        <v>-1</v>
      </c>
      <c r="T23" s="48">
        <v>13</v>
      </c>
      <c r="U23" s="72">
        <v>1</v>
      </c>
      <c r="V23" s="59">
        <v>3</v>
      </c>
      <c r="W23" s="10">
        <v>4</v>
      </c>
      <c r="X23" s="10">
        <v>3.7</v>
      </c>
      <c r="Y23" s="69">
        <f t="shared" si="6"/>
        <v>1</v>
      </c>
      <c r="Z23" s="48">
        <f t="shared" si="7"/>
        <v>-8.8</v>
      </c>
      <c r="AA23" s="48">
        <v>12.5</v>
      </c>
      <c r="AB23" s="72">
        <v>2</v>
      </c>
      <c r="AC23" s="59">
        <v>9</v>
      </c>
      <c r="AD23" s="10">
        <v>15</v>
      </c>
      <c r="AE23" s="10">
        <v>10</v>
      </c>
      <c r="AF23" s="69">
        <f t="shared" si="8"/>
        <v>6</v>
      </c>
      <c r="AG23" s="48">
        <f t="shared" si="9"/>
        <v>-92</v>
      </c>
      <c r="AH23" s="48">
        <v>102</v>
      </c>
      <c r="AI23" s="72">
        <v>2</v>
      </c>
      <c r="AJ23" s="59">
        <v>12</v>
      </c>
      <c r="AK23" s="10">
        <v>24</v>
      </c>
      <c r="AL23" s="10">
        <v>18</v>
      </c>
      <c r="AM23" s="69">
        <f t="shared" si="10"/>
        <v>12</v>
      </c>
      <c r="AN23" s="48">
        <f t="shared" si="11"/>
        <v>14.8</v>
      </c>
      <c r="AO23" s="48">
        <v>3.2</v>
      </c>
      <c r="AP23" s="72">
        <v>2</v>
      </c>
      <c r="AQ23" s="59">
        <v>1000</v>
      </c>
      <c r="AR23" s="10">
        <v>1200</v>
      </c>
      <c r="AS23" s="10">
        <v>1070</v>
      </c>
      <c r="AT23" s="69">
        <f t="shared" si="12"/>
        <v>200</v>
      </c>
      <c r="AU23" s="48">
        <f t="shared" si="13"/>
        <v>283</v>
      </c>
      <c r="AV23" s="48">
        <v>787</v>
      </c>
      <c r="AW23" s="72">
        <v>2</v>
      </c>
      <c r="AX23" s="74">
        <v>6</v>
      </c>
      <c r="AY23" s="72">
        <v>2</v>
      </c>
      <c r="AZ23" s="70">
        <v>2</v>
      </c>
      <c r="BA23" s="71">
        <v>1</v>
      </c>
    </row>
    <row r="24" spans="1:53">
      <c r="A24" s="46">
        <v>14</v>
      </c>
      <c r="B24" s="1">
        <v>14.7</v>
      </c>
      <c r="C24" s="1">
        <v>14.56</v>
      </c>
      <c r="D24" s="68">
        <f t="shared" si="0"/>
        <v>0.699999999999999</v>
      </c>
      <c r="E24" s="48">
        <f t="shared" si="1"/>
        <v>0.440000000000001</v>
      </c>
      <c r="F24" s="10">
        <v>14.12</v>
      </c>
      <c r="G24" s="72">
        <v>1</v>
      </c>
      <c r="H24" s="60">
        <v>6.3</v>
      </c>
      <c r="I24" s="1">
        <v>6.9</v>
      </c>
      <c r="J24" s="1">
        <v>6.7</v>
      </c>
      <c r="K24" s="68">
        <f t="shared" si="2"/>
        <v>0.600000000000001</v>
      </c>
      <c r="L24" s="48">
        <f t="shared" si="3"/>
        <v>0.3</v>
      </c>
      <c r="M24" s="48">
        <v>6.4</v>
      </c>
      <c r="N24" s="72">
        <v>1</v>
      </c>
      <c r="O24" s="58">
        <v>9</v>
      </c>
      <c r="P24" s="10">
        <v>12</v>
      </c>
      <c r="Q24" s="10">
        <v>10</v>
      </c>
      <c r="R24" s="69">
        <f t="shared" si="4"/>
        <v>3</v>
      </c>
      <c r="S24" s="48">
        <f t="shared" si="5"/>
        <v>-3</v>
      </c>
      <c r="T24" s="48">
        <v>13</v>
      </c>
      <c r="U24" s="72">
        <v>2</v>
      </c>
      <c r="V24" s="59">
        <v>1.2</v>
      </c>
      <c r="W24" s="10">
        <v>2</v>
      </c>
      <c r="X24" s="10">
        <v>1.5</v>
      </c>
      <c r="Y24" s="69">
        <f t="shared" si="6"/>
        <v>0.8</v>
      </c>
      <c r="Z24" s="48">
        <f t="shared" si="7"/>
        <v>-11</v>
      </c>
      <c r="AA24" s="48">
        <v>12.5</v>
      </c>
      <c r="AB24" s="72">
        <v>2</v>
      </c>
      <c r="AC24" s="59">
        <v>2000</v>
      </c>
      <c r="AD24" s="10">
        <v>5000</v>
      </c>
      <c r="AE24" s="10">
        <v>3000</v>
      </c>
      <c r="AF24" s="69">
        <f t="shared" si="8"/>
        <v>3000</v>
      </c>
      <c r="AG24" s="48">
        <f t="shared" si="9"/>
        <v>2898</v>
      </c>
      <c r="AH24" s="48">
        <v>102</v>
      </c>
      <c r="AI24" s="72">
        <v>2</v>
      </c>
      <c r="AJ24" s="59">
        <v>0.3</v>
      </c>
      <c r="AK24" s="10">
        <v>0.5</v>
      </c>
      <c r="AL24" s="10">
        <v>0.4</v>
      </c>
      <c r="AM24" s="69">
        <f t="shared" si="10"/>
        <v>0.2</v>
      </c>
      <c r="AN24" s="48">
        <f t="shared" si="11"/>
        <v>-2.8</v>
      </c>
      <c r="AO24" s="48">
        <v>3.2</v>
      </c>
      <c r="AP24" s="72">
        <v>2</v>
      </c>
      <c r="AQ24" s="59">
        <v>2000</v>
      </c>
      <c r="AR24" s="10">
        <v>5000</v>
      </c>
      <c r="AS24" s="10">
        <v>3000</v>
      </c>
      <c r="AT24" s="69">
        <f t="shared" si="12"/>
        <v>3000</v>
      </c>
      <c r="AU24" s="48">
        <f t="shared" si="13"/>
        <v>2213</v>
      </c>
      <c r="AV24" s="48">
        <v>787</v>
      </c>
      <c r="AW24" s="72">
        <v>2</v>
      </c>
      <c r="AX24" s="74">
        <v>4</v>
      </c>
      <c r="AY24" s="72">
        <v>2</v>
      </c>
      <c r="AZ24" s="70">
        <v>1</v>
      </c>
      <c r="BA24" s="71">
        <v>2</v>
      </c>
    </row>
    <row r="25" spans="1:53">
      <c r="A25" s="64">
        <v>14</v>
      </c>
      <c r="B25" s="65">
        <v>16</v>
      </c>
      <c r="C25" s="65">
        <v>14.5</v>
      </c>
      <c r="D25" s="66">
        <f t="shared" si="0"/>
        <v>2</v>
      </c>
      <c r="E25" s="48">
        <f t="shared" si="1"/>
        <v>0.380000000000001</v>
      </c>
      <c r="F25" s="10">
        <v>14.12</v>
      </c>
      <c r="G25" s="72">
        <v>1</v>
      </c>
      <c r="H25" s="60">
        <v>5.8</v>
      </c>
      <c r="I25" s="1">
        <v>6.4</v>
      </c>
      <c r="J25" s="1">
        <v>6</v>
      </c>
      <c r="K25" s="68">
        <f t="shared" si="2"/>
        <v>0.600000000000001</v>
      </c>
      <c r="L25" s="48">
        <f t="shared" si="3"/>
        <v>-0.4</v>
      </c>
      <c r="M25" s="48">
        <v>6.4</v>
      </c>
      <c r="N25" s="72">
        <v>1</v>
      </c>
      <c r="O25" s="58">
        <v>10</v>
      </c>
      <c r="P25" s="10">
        <v>11</v>
      </c>
      <c r="Q25" s="10">
        <v>11</v>
      </c>
      <c r="R25" s="69">
        <f t="shared" si="4"/>
        <v>1</v>
      </c>
      <c r="S25" s="48">
        <f t="shared" si="5"/>
        <v>-2</v>
      </c>
      <c r="T25" s="48">
        <v>13</v>
      </c>
      <c r="U25" s="72">
        <v>2</v>
      </c>
      <c r="V25" s="59">
        <v>6.1</v>
      </c>
      <c r="W25" s="10">
        <v>8</v>
      </c>
      <c r="X25" s="10">
        <v>7.5</v>
      </c>
      <c r="Y25" s="69">
        <f t="shared" si="6"/>
        <v>1.9</v>
      </c>
      <c r="Z25" s="48">
        <f t="shared" si="7"/>
        <v>-5</v>
      </c>
      <c r="AA25" s="48">
        <v>12.5</v>
      </c>
      <c r="AB25" s="72">
        <v>2</v>
      </c>
      <c r="AC25" s="59">
        <v>200</v>
      </c>
      <c r="AD25" s="10">
        <v>1000</v>
      </c>
      <c r="AE25" s="10">
        <v>800</v>
      </c>
      <c r="AF25" s="69">
        <f t="shared" si="8"/>
        <v>800</v>
      </c>
      <c r="AG25" s="48">
        <f t="shared" si="9"/>
        <v>698</v>
      </c>
      <c r="AH25" s="48">
        <v>102</v>
      </c>
      <c r="AI25" s="72">
        <v>2</v>
      </c>
      <c r="AJ25" s="59">
        <v>0.4</v>
      </c>
      <c r="AK25" s="10">
        <v>1</v>
      </c>
      <c r="AL25" s="10">
        <v>0.5</v>
      </c>
      <c r="AM25" s="69">
        <f t="shared" si="10"/>
        <v>0.6</v>
      </c>
      <c r="AN25" s="48">
        <f t="shared" si="11"/>
        <v>-2.7</v>
      </c>
      <c r="AO25" s="48">
        <v>3.2</v>
      </c>
      <c r="AP25" s="72">
        <v>2</v>
      </c>
      <c r="AQ25" s="59">
        <v>20</v>
      </c>
      <c r="AR25" s="10">
        <v>40</v>
      </c>
      <c r="AS25" s="10">
        <v>30</v>
      </c>
      <c r="AT25" s="69">
        <f t="shared" si="12"/>
        <v>20</v>
      </c>
      <c r="AU25" s="48">
        <f t="shared" si="13"/>
        <v>-757</v>
      </c>
      <c r="AV25" s="48">
        <v>787</v>
      </c>
      <c r="AW25" s="72">
        <v>2</v>
      </c>
      <c r="AX25" s="74">
        <v>5</v>
      </c>
      <c r="AY25" s="72">
        <v>2</v>
      </c>
      <c r="AZ25" s="70">
        <v>2</v>
      </c>
      <c r="BA25" s="71">
        <v>3</v>
      </c>
    </row>
    <row r="26" spans="1:53">
      <c r="A26" s="46">
        <v>13.2</v>
      </c>
      <c r="B26" s="1">
        <v>14.5</v>
      </c>
      <c r="C26" s="1">
        <v>14</v>
      </c>
      <c r="D26" s="68">
        <f t="shared" si="0"/>
        <v>1.3</v>
      </c>
      <c r="E26" s="48">
        <f t="shared" si="1"/>
        <v>-0.119999999999999</v>
      </c>
      <c r="F26" s="10">
        <v>14.12</v>
      </c>
      <c r="G26" s="72">
        <v>1</v>
      </c>
      <c r="H26" s="58">
        <v>6.5</v>
      </c>
      <c r="I26" s="10">
        <v>7.3</v>
      </c>
      <c r="J26" s="10">
        <v>6.9</v>
      </c>
      <c r="K26" s="73">
        <f t="shared" si="2"/>
        <v>0.8</v>
      </c>
      <c r="L26" s="48">
        <f t="shared" si="3"/>
        <v>0.5</v>
      </c>
      <c r="M26" s="48">
        <v>6.4</v>
      </c>
      <c r="N26" s="72">
        <v>2</v>
      </c>
      <c r="O26" s="58">
        <v>7</v>
      </c>
      <c r="P26" s="10">
        <v>11</v>
      </c>
      <c r="Q26" s="10">
        <v>9</v>
      </c>
      <c r="R26" s="69">
        <f t="shared" si="4"/>
        <v>4</v>
      </c>
      <c r="S26" s="48">
        <f t="shared" si="5"/>
        <v>-4</v>
      </c>
      <c r="T26" s="48">
        <v>13</v>
      </c>
      <c r="U26" s="72">
        <v>2</v>
      </c>
      <c r="V26" s="59">
        <v>1000</v>
      </c>
      <c r="W26" s="10">
        <v>2000</v>
      </c>
      <c r="X26" s="10">
        <v>1300</v>
      </c>
      <c r="Y26" s="69">
        <f t="shared" si="6"/>
        <v>1000</v>
      </c>
      <c r="Z26" s="48">
        <f t="shared" si="7"/>
        <v>1287.5</v>
      </c>
      <c r="AA26" s="48">
        <v>12.5</v>
      </c>
      <c r="AB26" s="72">
        <v>2</v>
      </c>
      <c r="AC26" s="59">
        <v>30000</v>
      </c>
      <c r="AD26" s="10">
        <v>50000</v>
      </c>
      <c r="AE26" s="10">
        <v>40000</v>
      </c>
      <c r="AF26" s="69">
        <f t="shared" si="8"/>
        <v>20000</v>
      </c>
      <c r="AG26" s="48">
        <f t="shared" si="9"/>
        <v>39898</v>
      </c>
      <c r="AH26" s="48">
        <v>102</v>
      </c>
      <c r="AI26" s="72">
        <v>2</v>
      </c>
      <c r="AJ26" s="46">
        <v>1.5</v>
      </c>
      <c r="AK26" s="1">
        <v>3.5</v>
      </c>
      <c r="AL26" s="1">
        <v>2</v>
      </c>
      <c r="AM26" s="47">
        <f t="shared" si="10"/>
        <v>2</v>
      </c>
      <c r="AN26" s="48">
        <f t="shared" si="11"/>
        <v>-1.2</v>
      </c>
      <c r="AO26" s="48">
        <v>3.2</v>
      </c>
      <c r="AP26" s="72">
        <v>1</v>
      </c>
      <c r="AQ26" s="59">
        <v>2000</v>
      </c>
      <c r="AR26" s="10">
        <v>3500</v>
      </c>
      <c r="AS26" s="10">
        <v>3000</v>
      </c>
      <c r="AT26" s="69">
        <f t="shared" si="12"/>
        <v>1500</v>
      </c>
      <c r="AU26" s="48">
        <f t="shared" si="13"/>
        <v>2213</v>
      </c>
      <c r="AV26" s="48">
        <v>787</v>
      </c>
      <c r="AW26" s="72">
        <v>2</v>
      </c>
      <c r="AX26" s="74">
        <v>5</v>
      </c>
      <c r="AY26" s="72">
        <v>2</v>
      </c>
      <c r="AZ26" s="70">
        <v>2</v>
      </c>
      <c r="BA26" s="71">
        <v>3</v>
      </c>
    </row>
    <row r="27" spans="1:53">
      <c r="A27" s="64">
        <v>14</v>
      </c>
      <c r="B27" s="65">
        <v>18</v>
      </c>
      <c r="C27" s="65">
        <v>16</v>
      </c>
      <c r="D27" s="66">
        <f t="shared" si="0"/>
        <v>4</v>
      </c>
      <c r="E27" s="48">
        <f t="shared" si="1"/>
        <v>1.88</v>
      </c>
      <c r="F27" s="10">
        <v>14.12</v>
      </c>
      <c r="G27" s="72">
        <v>0</v>
      </c>
      <c r="H27" s="58">
        <v>7.5</v>
      </c>
      <c r="I27" s="10">
        <v>9</v>
      </c>
      <c r="J27" s="10">
        <v>8.5</v>
      </c>
      <c r="K27" s="73">
        <f t="shared" si="2"/>
        <v>1.5</v>
      </c>
      <c r="L27" s="48">
        <f t="shared" si="3"/>
        <v>2.1</v>
      </c>
      <c r="M27" s="48">
        <v>6.4</v>
      </c>
      <c r="N27" s="72">
        <v>1</v>
      </c>
      <c r="O27" s="58">
        <v>15</v>
      </c>
      <c r="P27" s="10">
        <v>30</v>
      </c>
      <c r="Q27" s="10">
        <v>20</v>
      </c>
      <c r="R27" s="69">
        <f t="shared" si="4"/>
        <v>15</v>
      </c>
      <c r="S27" s="48">
        <f t="shared" si="5"/>
        <v>7</v>
      </c>
      <c r="T27" s="48">
        <v>13</v>
      </c>
      <c r="U27" s="72">
        <v>1</v>
      </c>
      <c r="V27" s="59">
        <v>1.5</v>
      </c>
      <c r="W27" s="10">
        <v>3</v>
      </c>
      <c r="X27" s="10">
        <v>2</v>
      </c>
      <c r="Y27" s="69">
        <f t="shared" si="6"/>
        <v>1.5</v>
      </c>
      <c r="Z27" s="48">
        <f t="shared" si="7"/>
        <v>-10.5</v>
      </c>
      <c r="AA27" s="48">
        <v>12.5</v>
      </c>
      <c r="AB27" s="72">
        <v>1</v>
      </c>
      <c r="AC27" s="59">
        <v>500</v>
      </c>
      <c r="AD27" s="10">
        <v>800</v>
      </c>
      <c r="AE27" s="10">
        <v>600</v>
      </c>
      <c r="AF27" s="69">
        <f t="shared" si="8"/>
        <v>300</v>
      </c>
      <c r="AG27" s="48">
        <f t="shared" si="9"/>
        <v>498</v>
      </c>
      <c r="AH27" s="48">
        <v>102</v>
      </c>
      <c r="AI27" s="72">
        <v>1</v>
      </c>
      <c r="AJ27" s="59">
        <v>5</v>
      </c>
      <c r="AK27" s="10">
        <v>15</v>
      </c>
      <c r="AL27" s="10">
        <v>7</v>
      </c>
      <c r="AM27" s="69">
        <f t="shared" si="10"/>
        <v>10</v>
      </c>
      <c r="AN27" s="48">
        <f t="shared" si="11"/>
        <v>3.8</v>
      </c>
      <c r="AO27" s="48">
        <v>3.2</v>
      </c>
      <c r="AP27" s="72">
        <v>1</v>
      </c>
      <c r="AQ27" s="59">
        <v>800</v>
      </c>
      <c r="AR27" s="10">
        <v>1500</v>
      </c>
      <c r="AS27" s="10">
        <v>1000</v>
      </c>
      <c r="AT27" s="69">
        <f t="shared" si="12"/>
        <v>700</v>
      </c>
      <c r="AU27" s="48">
        <f t="shared" si="13"/>
        <v>213</v>
      </c>
      <c r="AV27" s="48">
        <v>787</v>
      </c>
      <c r="AW27" s="72">
        <v>1</v>
      </c>
      <c r="AX27" s="74">
        <v>6</v>
      </c>
      <c r="AY27" s="72">
        <v>1</v>
      </c>
      <c r="AZ27" s="70">
        <v>2</v>
      </c>
      <c r="BA27" s="71">
        <v>1</v>
      </c>
    </row>
    <row r="28" spans="1:53">
      <c r="A28" s="46">
        <v>14</v>
      </c>
      <c r="B28" s="1">
        <v>14.4</v>
      </c>
      <c r="C28" s="1">
        <v>14.3</v>
      </c>
      <c r="D28" s="68">
        <f t="shared" si="0"/>
        <v>0.4</v>
      </c>
      <c r="E28" s="48">
        <f t="shared" si="1"/>
        <v>0.180000000000001</v>
      </c>
      <c r="F28" s="10">
        <v>14.12</v>
      </c>
      <c r="G28" s="72">
        <v>0</v>
      </c>
      <c r="H28" s="58">
        <v>6.7</v>
      </c>
      <c r="I28" s="10">
        <v>6.9</v>
      </c>
      <c r="J28" s="10">
        <v>6.8</v>
      </c>
      <c r="K28" s="73">
        <f t="shared" si="2"/>
        <v>0.2</v>
      </c>
      <c r="L28" s="48">
        <f t="shared" si="3"/>
        <v>0.399999999999999</v>
      </c>
      <c r="M28" s="48">
        <v>6.4</v>
      </c>
      <c r="N28" s="72">
        <v>1</v>
      </c>
      <c r="O28" s="58">
        <v>20</v>
      </c>
      <c r="P28" s="10">
        <v>27</v>
      </c>
      <c r="Q28" s="10">
        <v>23</v>
      </c>
      <c r="R28" s="69">
        <f t="shared" si="4"/>
        <v>7</v>
      </c>
      <c r="S28" s="48">
        <f t="shared" si="5"/>
        <v>10</v>
      </c>
      <c r="T28" s="48">
        <v>13</v>
      </c>
      <c r="U28" s="72">
        <v>1</v>
      </c>
      <c r="V28" s="59">
        <v>2300.7</v>
      </c>
      <c r="W28" s="10">
        <v>3300</v>
      </c>
      <c r="X28" s="10">
        <v>2700</v>
      </c>
      <c r="Y28" s="69">
        <f t="shared" si="6"/>
        <v>999.3</v>
      </c>
      <c r="Z28" s="48">
        <f t="shared" si="7"/>
        <v>2687.5</v>
      </c>
      <c r="AA28" s="48">
        <v>12.5</v>
      </c>
      <c r="AB28" s="72">
        <v>1</v>
      </c>
      <c r="AC28" s="59">
        <v>4000</v>
      </c>
      <c r="AD28" s="10">
        <v>5500</v>
      </c>
      <c r="AE28" s="10">
        <v>5000</v>
      </c>
      <c r="AF28" s="69">
        <f t="shared" si="8"/>
        <v>1500</v>
      </c>
      <c r="AG28" s="48">
        <f t="shared" si="9"/>
        <v>4898</v>
      </c>
      <c r="AH28" s="48">
        <v>102</v>
      </c>
      <c r="AI28" s="72">
        <v>1</v>
      </c>
      <c r="AJ28" s="59">
        <v>0.3</v>
      </c>
      <c r="AK28" s="10">
        <v>0.5</v>
      </c>
      <c r="AL28" s="10">
        <v>0.4</v>
      </c>
      <c r="AM28" s="69">
        <f t="shared" si="10"/>
        <v>0.2</v>
      </c>
      <c r="AN28" s="48">
        <f t="shared" si="11"/>
        <v>-2.8</v>
      </c>
      <c r="AO28" s="48">
        <v>3.2</v>
      </c>
      <c r="AP28" s="72">
        <v>1</v>
      </c>
      <c r="AQ28" s="59">
        <v>800</v>
      </c>
      <c r="AR28" s="10">
        <v>900</v>
      </c>
      <c r="AS28" s="10">
        <v>836</v>
      </c>
      <c r="AT28" s="69">
        <f t="shared" si="12"/>
        <v>100</v>
      </c>
      <c r="AU28" s="48">
        <f t="shared" si="13"/>
        <v>49</v>
      </c>
      <c r="AV28" s="48">
        <v>787</v>
      </c>
      <c r="AW28" s="72">
        <v>1</v>
      </c>
      <c r="AX28" s="74">
        <v>2</v>
      </c>
      <c r="AY28" s="72">
        <v>1</v>
      </c>
      <c r="AZ28" s="70">
        <v>2</v>
      </c>
      <c r="BA28" s="71">
        <v>2</v>
      </c>
    </row>
    <row r="29" spans="1:53">
      <c r="A29" s="46">
        <v>13.45</v>
      </c>
      <c r="B29" s="1">
        <v>14.73</v>
      </c>
      <c r="C29" s="1">
        <v>14.34</v>
      </c>
      <c r="D29" s="68">
        <f t="shared" si="0"/>
        <v>1.28</v>
      </c>
      <c r="E29" s="48">
        <f t="shared" si="1"/>
        <v>0.220000000000001</v>
      </c>
      <c r="F29" s="10">
        <v>14.12</v>
      </c>
      <c r="G29" s="72">
        <v>0</v>
      </c>
      <c r="H29" s="58">
        <v>6.6</v>
      </c>
      <c r="I29" s="10">
        <v>8.7</v>
      </c>
      <c r="J29" s="10">
        <v>6.8</v>
      </c>
      <c r="K29" s="73">
        <f t="shared" si="2"/>
        <v>2.1</v>
      </c>
      <c r="L29" s="48">
        <f t="shared" si="3"/>
        <v>0.399999999999999</v>
      </c>
      <c r="M29" s="48">
        <v>6.4</v>
      </c>
      <c r="N29" s="72">
        <v>1</v>
      </c>
      <c r="O29" s="58">
        <v>23</v>
      </c>
      <c r="P29" s="10">
        <v>28</v>
      </c>
      <c r="Q29" s="10">
        <v>26</v>
      </c>
      <c r="R29" s="69">
        <f t="shared" si="4"/>
        <v>5</v>
      </c>
      <c r="S29" s="48">
        <f t="shared" si="5"/>
        <v>13</v>
      </c>
      <c r="T29" s="48">
        <v>13</v>
      </c>
      <c r="U29" s="72">
        <v>1</v>
      </c>
      <c r="V29" s="59">
        <v>9.8</v>
      </c>
      <c r="W29" s="10">
        <v>9.9</v>
      </c>
      <c r="X29" s="10">
        <v>9.9</v>
      </c>
      <c r="Y29" s="69">
        <f t="shared" si="6"/>
        <v>0.0999999999999996</v>
      </c>
      <c r="Z29" s="48">
        <f t="shared" si="7"/>
        <v>-2.6</v>
      </c>
      <c r="AA29" s="48">
        <v>12.5</v>
      </c>
      <c r="AB29" s="72">
        <v>1</v>
      </c>
      <c r="AC29" s="59">
        <v>2680</v>
      </c>
      <c r="AD29" s="10">
        <v>3000</v>
      </c>
      <c r="AE29" s="10">
        <v>2780</v>
      </c>
      <c r="AF29" s="69">
        <f t="shared" si="8"/>
        <v>320</v>
      </c>
      <c r="AG29" s="48">
        <f t="shared" si="9"/>
        <v>2678</v>
      </c>
      <c r="AH29" s="48">
        <v>102</v>
      </c>
      <c r="AI29" s="72">
        <v>1</v>
      </c>
      <c r="AJ29" s="59">
        <v>6.8</v>
      </c>
      <c r="AK29" s="10">
        <v>8.6</v>
      </c>
      <c r="AL29" s="10">
        <v>6.8</v>
      </c>
      <c r="AM29" s="69">
        <f t="shared" si="10"/>
        <v>1.8</v>
      </c>
      <c r="AN29" s="48">
        <f t="shared" si="11"/>
        <v>3.6</v>
      </c>
      <c r="AO29" s="48">
        <v>3.2</v>
      </c>
      <c r="AP29" s="72">
        <v>1</v>
      </c>
      <c r="AQ29" s="59">
        <v>260</v>
      </c>
      <c r="AR29" s="10">
        <v>300</v>
      </c>
      <c r="AS29" s="10">
        <v>280</v>
      </c>
      <c r="AT29" s="69">
        <f t="shared" si="12"/>
        <v>40</v>
      </c>
      <c r="AU29" s="48">
        <f t="shared" si="13"/>
        <v>-507</v>
      </c>
      <c r="AV29" s="48">
        <v>787</v>
      </c>
      <c r="AW29" s="72">
        <v>1</v>
      </c>
      <c r="AX29" s="74">
        <v>2</v>
      </c>
      <c r="AY29" s="72">
        <v>1</v>
      </c>
      <c r="AZ29" s="70">
        <v>1</v>
      </c>
      <c r="BA29" s="71">
        <v>1</v>
      </c>
    </row>
    <row r="30" ht="14.6" spans="1:53">
      <c r="A30" s="79">
        <v>11</v>
      </c>
      <c r="B30" s="80">
        <v>13</v>
      </c>
      <c r="C30" s="80">
        <v>12.5</v>
      </c>
      <c r="D30" s="81">
        <f t="shared" si="0"/>
        <v>2</v>
      </c>
      <c r="E30" s="48">
        <f t="shared" si="1"/>
        <v>-1.62</v>
      </c>
      <c r="F30" s="10">
        <v>14.12</v>
      </c>
      <c r="G30" s="82">
        <v>0</v>
      </c>
      <c r="H30" s="83">
        <v>6.8</v>
      </c>
      <c r="I30" s="80">
        <v>8.5</v>
      </c>
      <c r="J30" s="80">
        <v>7.8</v>
      </c>
      <c r="K30" s="81">
        <f t="shared" si="2"/>
        <v>1.7</v>
      </c>
      <c r="L30" s="48">
        <f t="shared" si="3"/>
        <v>1.4</v>
      </c>
      <c r="M30" s="48">
        <v>6.4</v>
      </c>
      <c r="N30" s="82">
        <v>0</v>
      </c>
      <c r="O30" s="83">
        <v>5</v>
      </c>
      <c r="P30" s="80">
        <v>10</v>
      </c>
      <c r="Q30" s="80">
        <v>8</v>
      </c>
      <c r="R30" s="84">
        <f t="shared" si="4"/>
        <v>5</v>
      </c>
      <c r="S30" s="48">
        <f t="shared" si="5"/>
        <v>-5</v>
      </c>
      <c r="T30" s="48">
        <v>13</v>
      </c>
      <c r="U30" s="82">
        <v>0</v>
      </c>
      <c r="V30" s="79">
        <v>6.1</v>
      </c>
      <c r="W30" s="80">
        <v>7</v>
      </c>
      <c r="X30" s="80">
        <v>6.5</v>
      </c>
      <c r="Y30" s="84">
        <f t="shared" si="6"/>
        <v>0.9</v>
      </c>
      <c r="Z30" s="48">
        <f t="shared" si="7"/>
        <v>-6</v>
      </c>
      <c r="AA30" s="48">
        <v>12.5</v>
      </c>
      <c r="AB30" s="82">
        <v>0</v>
      </c>
      <c r="AC30" s="79">
        <v>2000</v>
      </c>
      <c r="AD30" s="80">
        <v>5000</v>
      </c>
      <c r="AE30" s="80">
        <v>4000</v>
      </c>
      <c r="AF30" s="84">
        <f t="shared" si="8"/>
        <v>3000</v>
      </c>
      <c r="AG30" s="48">
        <f t="shared" si="9"/>
        <v>3898</v>
      </c>
      <c r="AH30" s="48">
        <v>102</v>
      </c>
      <c r="AI30" s="82">
        <v>0</v>
      </c>
      <c r="AJ30" s="79">
        <v>8.5</v>
      </c>
      <c r="AK30" s="80">
        <v>10.5</v>
      </c>
      <c r="AL30" s="80">
        <v>9</v>
      </c>
      <c r="AM30" s="84">
        <f t="shared" si="10"/>
        <v>2</v>
      </c>
      <c r="AN30" s="48">
        <f t="shared" si="11"/>
        <v>5.8</v>
      </c>
      <c r="AO30" s="48">
        <v>3.2</v>
      </c>
      <c r="AP30" s="82">
        <v>0</v>
      </c>
      <c r="AQ30" s="79">
        <v>300</v>
      </c>
      <c r="AR30" s="80">
        <v>500</v>
      </c>
      <c r="AS30" s="80">
        <v>400</v>
      </c>
      <c r="AT30" s="84">
        <f t="shared" si="12"/>
        <v>200</v>
      </c>
      <c r="AU30" s="48">
        <f t="shared" si="13"/>
        <v>-387</v>
      </c>
      <c r="AV30" s="48">
        <v>787</v>
      </c>
      <c r="AW30" s="82">
        <v>0</v>
      </c>
      <c r="AX30" s="74">
        <v>4</v>
      </c>
      <c r="AY30" s="82">
        <v>0</v>
      </c>
      <c r="AZ30" s="85">
        <v>2</v>
      </c>
      <c r="BA30" s="86">
        <v>3</v>
      </c>
    </row>
    <row r="31" ht="14.6" spans="1:53">
      <c r="A31" s="87" t="s">
        <v>36</v>
      </c>
      <c r="B31" s="88" t="s">
        <v>37</v>
      </c>
      <c r="C31" s="88" t="s">
        <v>38</v>
      </c>
      <c r="D31" s="88" t="s">
        <v>39</v>
      </c>
      <c r="E31" s="10" t="s">
        <v>40</v>
      </c>
      <c r="F31" s="10" t="s">
        <v>41</v>
      </c>
      <c r="G31" s="89" t="s">
        <v>42</v>
      </c>
      <c r="H31" s="88" t="s">
        <v>36</v>
      </c>
      <c r="I31" s="88" t="s">
        <v>37</v>
      </c>
      <c r="J31" s="88" t="s">
        <v>38</v>
      </c>
      <c r="K31" s="88" t="s">
        <v>39</v>
      </c>
      <c r="L31" s="10" t="s">
        <v>40</v>
      </c>
      <c r="M31" s="10" t="s">
        <v>41</v>
      </c>
      <c r="N31" s="89" t="s">
        <v>42</v>
      </c>
      <c r="O31" s="88" t="s">
        <v>36</v>
      </c>
      <c r="P31" s="88" t="s">
        <v>37</v>
      </c>
      <c r="Q31" s="88" t="s">
        <v>38</v>
      </c>
      <c r="R31" s="90" t="s">
        <v>39</v>
      </c>
      <c r="S31" s="10" t="s">
        <v>40</v>
      </c>
      <c r="T31" s="10" t="s">
        <v>41</v>
      </c>
      <c r="U31" s="89" t="s">
        <v>42</v>
      </c>
      <c r="V31" s="87" t="s">
        <v>36</v>
      </c>
      <c r="W31" s="88" t="s">
        <v>37</v>
      </c>
      <c r="X31" s="88" t="s">
        <v>38</v>
      </c>
      <c r="Y31" s="90" t="s">
        <v>39</v>
      </c>
      <c r="Z31" s="10" t="s">
        <v>40</v>
      </c>
      <c r="AA31" s="10" t="s">
        <v>41</v>
      </c>
      <c r="AB31" s="89" t="s">
        <v>42</v>
      </c>
      <c r="AC31" s="87" t="s">
        <v>36</v>
      </c>
      <c r="AD31" s="88" t="s">
        <v>37</v>
      </c>
      <c r="AE31" s="88" t="s">
        <v>38</v>
      </c>
      <c r="AF31" s="90" t="s">
        <v>39</v>
      </c>
      <c r="AG31" s="10" t="s">
        <v>40</v>
      </c>
      <c r="AH31" s="10" t="s">
        <v>41</v>
      </c>
      <c r="AI31" s="89" t="s">
        <v>42</v>
      </c>
      <c r="AJ31" s="87" t="s">
        <v>36</v>
      </c>
      <c r="AK31" s="88" t="s">
        <v>37</v>
      </c>
      <c r="AL31" s="88" t="s">
        <v>38</v>
      </c>
      <c r="AM31" s="90" t="s">
        <v>39</v>
      </c>
      <c r="AN31" s="10" t="s">
        <v>40</v>
      </c>
      <c r="AO31" s="10" t="s">
        <v>41</v>
      </c>
      <c r="AP31" s="88"/>
      <c r="AQ31" s="87" t="s">
        <v>36</v>
      </c>
      <c r="AR31" s="88" t="s">
        <v>37</v>
      </c>
      <c r="AS31" s="88" t="s">
        <v>38</v>
      </c>
      <c r="AT31" s="90" t="s">
        <v>39</v>
      </c>
      <c r="AU31" s="10" t="s">
        <v>40</v>
      </c>
      <c r="AV31" s="10" t="s">
        <v>41</v>
      </c>
      <c r="AW31" s="89" t="s">
        <v>43</v>
      </c>
      <c r="AX31" s="88"/>
      <c r="AY31" s="89" t="s">
        <v>42</v>
      </c>
      <c r="AZ31" s="91" t="s">
        <v>44</v>
      </c>
      <c r="BA31" s="71"/>
    </row>
    <row r="32" ht="13.9" customHeight="1" spans="1:53">
      <c r="A32" s="45" t="s">
        <v>45</v>
      </c>
      <c r="B32" s="43"/>
      <c r="C32" s="43"/>
      <c r="D32" s="44"/>
      <c r="E32" s="43"/>
      <c r="F32" s="43"/>
      <c r="G32" s="92"/>
      <c r="H32" s="45" t="s">
        <v>46</v>
      </c>
      <c r="I32" s="43"/>
      <c r="J32" s="43"/>
      <c r="K32" s="44"/>
      <c r="L32" s="43"/>
      <c r="M32" s="43"/>
      <c r="N32" s="92"/>
      <c r="O32" s="45" t="s">
        <v>47</v>
      </c>
      <c r="P32" s="43"/>
      <c r="Q32" s="43"/>
      <c r="R32" s="44"/>
      <c r="S32" s="43"/>
      <c r="T32" s="43"/>
      <c r="U32" s="92"/>
      <c r="V32" s="45" t="s">
        <v>48</v>
      </c>
      <c r="W32" s="43"/>
      <c r="X32" s="43"/>
      <c r="Y32" s="44"/>
      <c r="Z32" s="43"/>
      <c r="AA32" s="43"/>
      <c r="AB32" s="92"/>
      <c r="AC32" s="45" t="s">
        <v>49</v>
      </c>
      <c r="AD32" s="43"/>
      <c r="AE32" s="43"/>
      <c r="AF32" s="44"/>
      <c r="AG32" s="43"/>
      <c r="AH32" s="43"/>
      <c r="AI32" s="92"/>
      <c r="AJ32" s="45" t="s">
        <v>50</v>
      </c>
      <c r="AK32" s="43"/>
      <c r="AL32" s="43"/>
      <c r="AM32" s="44"/>
      <c r="AN32" s="43"/>
      <c r="AO32" s="43"/>
      <c r="AP32" s="92"/>
      <c r="AQ32" s="45" t="s">
        <v>51</v>
      </c>
      <c r="AR32" s="43"/>
      <c r="AS32" s="43"/>
      <c r="AT32" s="44"/>
      <c r="AU32" s="43"/>
      <c r="AV32" s="43"/>
      <c r="AW32" s="92"/>
      <c r="AX32" s="92"/>
      <c r="AY32" s="92"/>
      <c r="BA32" s="93" t="s">
        <v>44</v>
      </c>
    </row>
  </sheetData>
  <sortState ref="A3:BB32">
    <sortCondition ref="AY3:AY32" descending="1"/>
  </sortState>
  <mergeCells count="7">
    <mergeCell ref="A32:D32"/>
    <mergeCell ref="H32:K32"/>
    <mergeCell ref="O32:R32"/>
    <mergeCell ref="V32:Y32"/>
    <mergeCell ref="AC32:AF32"/>
    <mergeCell ref="AJ32:AM32"/>
    <mergeCell ref="AQ32:AT3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35"/>
  <sheetViews>
    <sheetView zoomScale="70" zoomScaleNormal="70" workbookViewId="0">
      <selection activeCell="AY2" sqref="AY2:AY31"/>
    </sheetView>
  </sheetViews>
  <sheetFormatPr defaultColWidth="9" defaultRowHeight="15"/>
  <cols>
    <col min="1" max="1" width="6.33628318584071" style="7" customWidth="1"/>
    <col min="2" max="2" width="6.53097345132743" style="7" customWidth="1"/>
    <col min="3" max="3" width="7.53097345132743" style="7" customWidth="1"/>
    <col min="4" max="4" width="5.33628318584071" style="7" customWidth="1"/>
    <col min="5" max="5" width="6.53097345132743" style="38" customWidth="1"/>
    <col min="6" max="6" width="9.53097345132743" style="38" customWidth="1"/>
    <col min="7" max="8" width="4.92920353982301" style="38" customWidth="1"/>
    <col min="9" max="10" width="5.53097345132743" style="7" customWidth="1"/>
    <col min="11" max="11" width="7.53097345132743" style="7" customWidth="1"/>
    <col min="12" max="12" width="5.13274336283186" style="7" customWidth="1"/>
    <col min="13" max="13" width="5.53097345132743" style="38" customWidth="1"/>
    <col min="14" max="14" width="9.53097345132743" style="38" customWidth="1"/>
    <col min="15" max="16" width="4.92920353982301" style="38" customWidth="1"/>
    <col min="17" max="18" width="6.53097345132743" style="7" customWidth="1"/>
    <col min="19" max="19" width="7.53097345132743" style="7" customWidth="1"/>
    <col min="20" max="20" width="5.33628318584071" style="7" customWidth="1"/>
    <col min="21" max="21" width="7.53097345132743" style="38" customWidth="1"/>
    <col min="22" max="22" width="9.53097345132743" style="38" customWidth="1"/>
    <col min="23" max="24" width="4.92920353982301" style="38" customWidth="1"/>
    <col min="25" max="26" width="5.53097345132743" style="7" customWidth="1"/>
    <col min="27" max="27" width="7.53097345132743" style="7" customWidth="1"/>
    <col min="28" max="28" width="5.13274336283186" style="7" customWidth="1"/>
    <col min="29" max="29" width="5.53097345132743" style="38" customWidth="1"/>
    <col min="30" max="30" width="9.53097345132743" style="38" customWidth="1"/>
    <col min="31" max="32" width="4.92920353982301" style="38" customWidth="1"/>
    <col min="33" max="34" width="5.53097345132743" style="7" customWidth="1"/>
    <col min="35" max="35" width="7.53097345132743" style="7" customWidth="1"/>
    <col min="36" max="36" width="5.33628318584071" style="7" customWidth="1"/>
    <col min="37" max="38" width="9.33628318584071" style="38" customWidth="1"/>
    <col min="39" max="40" width="4.92920353982301" style="38" customWidth="1"/>
    <col min="41" max="42" width="5.53097345132743" style="7" customWidth="1"/>
    <col min="43" max="43" width="7.53097345132743" style="7" customWidth="1"/>
    <col min="44" max="44" width="5.13274336283186" style="7" customWidth="1"/>
    <col min="45" max="45" width="5.13274336283186" style="38" customWidth="1"/>
    <col min="46" max="46" width="9.53097345132743" style="38" customWidth="1"/>
    <col min="47" max="48" width="4.92920353982301" style="7" customWidth="1"/>
    <col min="49" max="50" width="9" style="39"/>
    <col min="51" max="51" width="23.6017699115044" style="7" customWidth="1"/>
    <col min="52" max="16384" width="9" style="7"/>
  </cols>
  <sheetData>
    <row r="1" ht="13.9" customHeight="1" spans="1:51">
      <c r="A1" s="40" t="s">
        <v>45</v>
      </c>
      <c r="B1" s="41"/>
      <c r="C1" s="41"/>
      <c r="D1" s="42"/>
      <c r="E1" s="43"/>
      <c r="F1" s="43"/>
      <c r="G1" s="43"/>
      <c r="H1" s="43"/>
      <c r="I1" s="40" t="s">
        <v>46</v>
      </c>
      <c r="J1" s="41"/>
      <c r="K1" s="41"/>
      <c r="L1" s="42"/>
      <c r="M1" s="43"/>
      <c r="N1" s="43"/>
      <c r="O1" s="43"/>
      <c r="P1" s="43"/>
      <c r="Q1" s="43" t="s">
        <v>47</v>
      </c>
      <c r="R1" s="43"/>
      <c r="S1" s="43"/>
      <c r="T1" s="44"/>
      <c r="U1" s="43"/>
      <c r="V1" s="43"/>
      <c r="W1" s="43"/>
      <c r="X1" s="43"/>
      <c r="Y1" s="43" t="s">
        <v>48</v>
      </c>
      <c r="Z1" s="43"/>
      <c r="AA1" s="43"/>
      <c r="AB1" s="44"/>
      <c r="AC1" s="43"/>
      <c r="AD1" s="43"/>
      <c r="AE1" s="43"/>
      <c r="AF1" s="43"/>
      <c r="AG1" s="45" t="s">
        <v>49</v>
      </c>
      <c r="AH1" s="43"/>
      <c r="AI1" s="43"/>
      <c r="AJ1" s="44"/>
      <c r="AK1" s="43"/>
      <c r="AL1" s="43"/>
      <c r="AM1" s="43"/>
      <c r="AN1" s="43"/>
      <c r="AO1" s="45" t="s">
        <v>50</v>
      </c>
      <c r="AP1" s="43"/>
      <c r="AQ1" s="43"/>
      <c r="AR1" s="44"/>
      <c r="AS1" s="43"/>
      <c r="AT1" s="43"/>
    </row>
    <row r="2" spans="1:51">
      <c r="A2" s="46">
        <v>8.9</v>
      </c>
      <c r="B2" s="1">
        <v>9.85</v>
      </c>
      <c r="C2" s="1">
        <v>9.32</v>
      </c>
      <c r="D2" s="47">
        <f t="shared" ref="D2:D31" si="0">B2-A2</f>
        <v>0.949999999999999</v>
      </c>
      <c r="E2" s="48">
        <f t="shared" ref="E2:E31" si="1">C2-F2</f>
        <v>-0.26</v>
      </c>
      <c r="F2" s="10">
        <v>9.58</v>
      </c>
      <c r="G2" s="7">
        <v>3</v>
      </c>
      <c r="H2" s="7">
        <v>5</v>
      </c>
      <c r="I2" s="49">
        <v>10</v>
      </c>
      <c r="J2" s="3">
        <v>25</v>
      </c>
      <c r="K2" s="3">
        <v>17</v>
      </c>
      <c r="L2" s="50">
        <f t="shared" ref="L2:L31" si="2">J2-I2</f>
        <v>15</v>
      </c>
      <c r="M2" s="48">
        <f t="shared" ref="M2:M31" si="3">K2-N2</f>
        <v>-3</v>
      </c>
      <c r="N2" s="10">
        <v>20</v>
      </c>
      <c r="O2" s="7">
        <v>4</v>
      </c>
      <c r="P2" s="7">
        <v>5</v>
      </c>
      <c r="Q2" s="5">
        <v>10</v>
      </c>
      <c r="R2" s="5">
        <v>60</v>
      </c>
      <c r="S2" s="5">
        <v>12</v>
      </c>
      <c r="T2" s="51">
        <f t="shared" ref="T2:T31" si="4">R2-Q2</f>
        <v>50</v>
      </c>
      <c r="U2" s="48">
        <f t="shared" ref="U2:U31" si="5">S2-V2</f>
        <v>-8.91</v>
      </c>
      <c r="V2" s="10">
        <v>20.91</v>
      </c>
      <c r="W2" s="7">
        <v>3</v>
      </c>
      <c r="X2" s="7">
        <v>5</v>
      </c>
      <c r="Y2" s="52">
        <v>2</v>
      </c>
      <c r="Z2" s="6">
        <v>20</v>
      </c>
      <c r="AA2" s="6">
        <v>6</v>
      </c>
      <c r="AB2" s="53">
        <f t="shared" ref="AB2:AB31" si="6">Z2-Y2</f>
        <v>18</v>
      </c>
      <c r="AC2" s="48">
        <f t="shared" ref="AC2:AC31" si="7">AA2-AD2</f>
        <v>0</v>
      </c>
      <c r="AD2" s="10">
        <v>6</v>
      </c>
      <c r="AE2" s="7">
        <v>4</v>
      </c>
      <c r="AF2" s="7">
        <v>5</v>
      </c>
      <c r="AG2" s="54">
        <v>2</v>
      </c>
      <c r="AH2" s="5">
        <v>2.8</v>
      </c>
      <c r="AI2" s="5">
        <v>2.3</v>
      </c>
      <c r="AJ2" s="51">
        <f t="shared" ref="AJ2:AJ31" si="8">AH2-AG2</f>
        <v>0.8</v>
      </c>
      <c r="AK2" s="48">
        <f t="shared" ref="AK2:AK31" si="9">AI2-AL2</f>
        <v>-0.44</v>
      </c>
      <c r="AL2" s="10">
        <v>2.74</v>
      </c>
      <c r="AM2" s="7">
        <v>3</v>
      </c>
      <c r="AN2" s="7">
        <v>5</v>
      </c>
      <c r="AO2" s="54">
        <v>8</v>
      </c>
      <c r="AP2" s="5">
        <v>16</v>
      </c>
      <c r="AQ2" s="5">
        <v>12</v>
      </c>
      <c r="AR2" s="51">
        <f t="shared" ref="AR2:AR31" si="10">AP2-AO2</f>
        <v>8</v>
      </c>
      <c r="AS2" s="48">
        <f t="shared" ref="AS2:AS31" si="11">AQ2-AT2</f>
        <v>-4</v>
      </c>
      <c r="AT2" s="10">
        <v>16</v>
      </c>
      <c r="AU2" s="7">
        <v>3</v>
      </c>
      <c r="AV2" s="7">
        <v>5</v>
      </c>
      <c r="AW2" s="39">
        <v>4</v>
      </c>
      <c r="AX2" s="39">
        <v>6</v>
      </c>
      <c r="AY2" s="7">
        <v>0.0833</v>
      </c>
    </row>
    <row r="3" spans="1:51">
      <c r="A3" s="46">
        <v>9</v>
      </c>
      <c r="B3" s="1">
        <v>9.6</v>
      </c>
      <c r="C3" s="1">
        <v>9.2</v>
      </c>
      <c r="D3" s="47">
        <f t="shared" si="0"/>
        <v>0.6</v>
      </c>
      <c r="E3" s="48">
        <f t="shared" si="1"/>
        <v>-0.380000000000001</v>
      </c>
      <c r="F3" s="10">
        <v>9.58</v>
      </c>
      <c r="G3" s="7">
        <v>3</v>
      </c>
      <c r="H3" s="7">
        <v>3</v>
      </c>
      <c r="I3" s="46">
        <v>10</v>
      </c>
      <c r="J3" s="1">
        <v>20</v>
      </c>
      <c r="K3" s="1">
        <v>17</v>
      </c>
      <c r="L3" s="47">
        <f t="shared" si="2"/>
        <v>10</v>
      </c>
      <c r="M3" s="48">
        <f t="shared" si="3"/>
        <v>-3</v>
      </c>
      <c r="N3" s="10">
        <v>20</v>
      </c>
      <c r="O3" s="7">
        <v>3</v>
      </c>
      <c r="P3" s="7">
        <v>3</v>
      </c>
      <c r="Q3" s="55">
        <v>12</v>
      </c>
      <c r="R3" s="9">
        <v>15</v>
      </c>
      <c r="S3" s="9">
        <v>13</v>
      </c>
      <c r="T3" s="56">
        <f t="shared" si="4"/>
        <v>3</v>
      </c>
      <c r="U3" s="48">
        <f t="shared" si="5"/>
        <v>-7.91</v>
      </c>
      <c r="V3" s="10">
        <v>20.91</v>
      </c>
      <c r="W3" s="7">
        <v>4</v>
      </c>
      <c r="X3" s="7">
        <v>4</v>
      </c>
      <c r="Y3" s="46">
        <v>6</v>
      </c>
      <c r="Z3" s="1">
        <v>12</v>
      </c>
      <c r="AA3" s="1">
        <v>8</v>
      </c>
      <c r="AB3" s="47">
        <f t="shared" si="6"/>
        <v>6</v>
      </c>
      <c r="AC3" s="48">
        <f t="shared" si="7"/>
        <v>2</v>
      </c>
      <c r="AD3" s="10">
        <v>6</v>
      </c>
      <c r="AE3" s="7">
        <v>3</v>
      </c>
      <c r="AF3" s="7">
        <v>3</v>
      </c>
      <c r="AG3" s="46">
        <v>2.5</v>
      </c>
      <c r="AH3" s="1">
        <v>3.5</v>
      </c>
      <c r="AI3" s="1">
        <v>3</v>
      </c>
      <c r="AJ3" s="47">
        <f t="shared" si="8"/>
        <v>1</v>
      </c>
      <c r="AK3" s="48">
        <f t="shared" si="9"/>
        <v>0.26</v>
      </c>
      <c r="AL3" s="10">
        <v>2.74</v>
      </c>
      <c r="AM3" s="7">
        <v>3</v>
      </c>
      <c r="AN3" s="7">
        <v>3</v>
      </c>
      <c r="AO3" s="57">
        <v>8</v>
      </c>
      <c r="AP3" s="9">
        <v>15</v>
      </c>
      <c r="AQ3" s="9">
        <v>12</v>
      </c>
      <c r="AR3" s="56">
        <f t="shared" si="10"/>
        <v>7</v>
      </c>
      <c r="AS3" s="48">
        <f t="shared" si="11"/>
        <v>-4</v>
      </c>
      <c r="AT3" s="10">
        <v>16</v>
      </c>
      <c r="AU3" s="7">
        <v>4</v>
      </c>
      <c r="AV3" s="7">
        <v>4</v>
      </c>
      <c r="AW3" s="39">
        <v>4</v>
      </c>
      <c r="AX3" s="39">
        <v>4</v>
      </c>
      <c r="AY3" s="7">
        <v>0.03735</v>
      </c>
    </row>
    <row r="4" spans="1:51">
      <c r="A4" s="46">
        <v>9.58</v>
      </c>
      <c r="B4" s="1">
        <v>9.65</v>
      </c>
      <c r="C4" s="1">
        <v>9.58</v>
      </c>
      <c r="D4" s="47">
        <f t="shared" si="0"/>
        <v>0.0700000000000003</v>
      </c>
      <c r="E4" s="48">
        <f t="shared" si="1"/>
        <v>0</v>
      </c>
      <c r="F4" s="10">
        <v>9.58</v>
      </c>
      <c r="G4" s="7">
        <v>3</v>
      </c>
      <c r="H4" s="7">
        <v>3</v>
      </c>
      <c r="I4" s="46">
        <v>15</v>
      </c>
      <c r="J4" s="1">
        <v>20</v>
      </c>
      <c r="K4" s="1">
        <v>16</v>
      </c>
      <c r="L4" s="47">
        <f t="shared" si="2"/>
        <v>5</v>
      </c>
      <c r="M4" s="48">
        <f t="shared" si="3"/>
        <v>-4</v>
      </c>
      <c r="N4" s="10">
        <v>20</v>
      </c>
      <c r="O4" s="7">
        <v>3</v>
      </c>
      <c r="P4" s="7">
        <v>3</v>
      </c>
      <c r="Q4" s="58">
        <v>18.5</v>
      </c>
      <c r="R4" s="10">
        <v>25</v>
      </c>
      <c r="S4" s="10">
        <v>19</v>
      </c>
      <c r="T4" s="56">
        <f t="shared" si="4"/>
        <v>6.5</v>
      </c>
      <c r="U4" s="48">
        <f t="shared" si="5"/>
        <v>-1.91</v>
      </c>
      <c r="V4" s="10">
        <v>20.91</v>
      </c>
      <c r="W4" s="7">
        <v>4</v>
      </c>
      <c r="X4" s="7">
        <v>4</v>
      </c>
      <c r="Y4" s="46">
        <v>6</v>
      </c>
      <c r="Z4" s="1">
        <v>10</v>
      </c>
      <c r="AA4" s="1">
        <v>7</v>
      </c>
      <c r="AB4" s="47">
        <f t="shared" si="6"/>
        <v>4</v>
      </c>
      <c r="AC4" s="48">
        <f t="shared" si="7"/>
        <v>1</v>
      </c>
      <c r="AD4" s="10">
        <v>6</v>
      </c>
      <c r="AE4" s="7">
        <v>3</v>
      </c>
      <c r="AF4" s="7">
        <v>3</v>
      </c>
      <c r="AG4" s="59">
        <v>4</v>
      </c>
      <c r="AH4" s="10">
        <v>5.6</v>
      </c>
      <c r="AI4" s="10">
        <v>4.5</v>
      </c>
      <c r="AJ4" s="56">
        <f t="shared" si="8"/>
        <v>1.6</v>
      </c>
      <c r="AK4" s="48">
        <f t="shared" si="9"/>
        <v>1.76</v>
      </c>
      <c r="AL4" s="10">
        <v>2.74</v>
      </c>
      <c r="AM4" s="7">
        <v>4</v>
      </c>
      <c r="AN4" s="7">
        <v>4</v>
      </c>
      <c r="AO4" s="46">
        <v>15</v>
      </c>
      <c r="AP4" s="1">
        <v>30</v>
      </c>
      <c r="AQ4" s="1">
        <v>20</v>
      </c>
      <c r="AR4" s="47">
        <f t="shared" si="10"/>
        <v>15</v>
      </c>
      <c r="AS4" s="48">
        <f t="shared" si="11"/>
        <v>4</v>
      </c>
      <c r="AT4" s="10">
        <v>16</v>
      </c>
      <c r="AU4" s="7">
        <v>3</v>
      </c>
      <c r="AV4" s="7">
        <v>3</v>
      </c>
      <c r="AW4" s="39">
        <v>4</v>
      </c>
      <c r="AX4" s="39">
        <v>4</v>
      </c>
      <c r="AY4" s="7">
        <v>0.08971</v>
      </c>
    </row>
    <row r="5" spans="1:51">
      <c r="A5" s="49">
        <v>8</v>
      </c>
      <c r="B5" s="3">
        <v>11</v>
      </c>
      <c r="C5" s="3">
        <v>9.79</v>
      </c>
      <c r="D5" s="50">
        <f t="shared" si="0"/>
        <v>3</v>
      </c>
      <c r="E5" s="48">
        <f t="shared" si="1"/>
        <v>0.209999999999999</v>
      </c>
      <c r="F5" s="10">
        <v>9.58</v>
      </c>
      <c r="G5" s="7">
        <v>2</v>
      </c>
      <c r="H5" s="7">
        <v>3</v>
      </c>
      <c r="I5" s="49">
        <v>5</v>
      </c>
      <c r="J5" s="3">
        <v>30</v>
      </c>
      <c r="K5" s="3">
        <v>22</v>
      </c>
      <c r="L5" s="50">
        <f t="shared" si="2"/>
        <v>25</v>
      </c>
      <c r="M5" s="48">
        <f t="shared" si="3"/>
        <v>2</v>
      </c>
      <c r="N5" s="10">
        <v>20</v>
      </c>
      <c r="O5" s="7">
        <v>2</v>
      </c>
      <c r="P5" s="7">
        <v>3</v>
      </c>
      <c r="Q5" s="60">
        <v>8</v>
      </c>
      <c r="R5" s="1">
        <v>30</v>
      </c>
      <c r="S5" s="1">
        <v>15</v>
      </c>
      <c r="T5" s="47">
        <f t="shared" si="4"/>
        <v>22</v>
      </c>
      <c r="U5" s="48">
        <f t="shared" si="5"/>
        <v>-5.91</v>
      </c>
      <c r="V5" s="10">
        <v>20.91</v>
      </c>
      <c r="W5" s="7">
        <v>1</v>
      </c>
      <c r="X5" s="7">
        <v>3</v>
      </c>
      <c r="Y5" s="46">
        <v>2</v>
      </c>
      <c r="Z5" s="1">
        <v>8</v>
      </c>
      <c r="AA5" s="1">
        <v>5</v>
      </c>
      <c r="AB5" s="47">
        <f t="shared" si="6"/>
        <v>6</v>
      </c>
      <c r="AC5" s="48">
        <f t="shared" si="7"/>
        <v>-1</v>
      </c>
      <c r="AD5" s="10">
        <v>6</v>
      </c>
      <c r="AE5" s="7">
        <v>1</v>
      </c>
      <c r="AF5" s="7">
        <v>3</v>
      </c>
      <c r="AG5" s="57">
        <v>3</v>
      </c>
      <c r="AH5" s="9">
        <v>5</v>
      </c>
      <c r="AI5" s="9">
        <v>4</v>
      </c>
      <c r="AJ5" s="56">
        <f t="shared" si="8"/>
        <v>2</v>
      </c>
      <c r="AK5" s="48">
        <f t="shared" si="9"/>
        <v>1.26</v>
      </c>
      <c r="AL5" s="10">
        <v>2.74</v>
      </c>
      <c r="AM5" s="7">
        <v>2</v>
      </c>
      <c r="AN5" s="7">
        <v>4</v>
      </c>
      <c r="AO5" s="57">
        <v>8</v>
      </c>
      <c r="AP5" s="9">
        <v>15</v>
      </c>
      <c r="AQ5" s="9">
        <v>12</v>
      </c>
      <c r="AR5" s="56">
        <f t="shared" si="10"/>
        <v>7</v>
      </c>
      <c r="AS5" s="48">
        <f t="shared" si="11"/>
        <v>-4</v>
      </c>
      <c r="AT5" s="10">
        <v>16</v>
      </c>
      <c r="AU5" s="7">
        <v>2</v>
      </c>
      <c r="AV5" s="7">
        <v>4</v>
      </c>
      <c r="AW5" s="39">
        <v>2</v>
      </c>
      <c r="AX5" s="39">
        <v>4</v>
      </c>
      <c r="AY5" s="7">
        <v>0.1416</v>
      </c>
    </row>
    <row r="6" spans="1:51">
      <c r="A6" s="57">
        <v>8.89</v>
      </c>
      <c r="B6" s="9">
        <v>8.99</v>
      </c>
      <c r="C6" s="9">
        <v>8.9</v>
      </c>
      <c r="D6" s="56">
        <f t="shared" si="0"/>
        <v>0.0999999999999996</v>
      </c>
      <c r="E6" s="48">
        <f t="shared" si="1"/>
        <v>-0.68</v>
      </c>
      <c r="F6" s="10">
        <v>9.58</v>
      </c>
      <c r="G6" s="7">
        <v>3</v>
      </c>
      <c r="H6" s="7">
        <v>3</v>
      </c>
      <c r="I6" s="46">
        <v>10</v>
      </c>
      <c r="J6" s="1">
        <v>24</v>
      </c>
      <c r="K6" s="1">
        <v>18</v>
      </c>
      <c r="L6" s="47">
        <f t="shared" si="2"/>
        <v>14</v>
      </c>
      <c r="M6" s="48">
        <f t="shared" si="3"/>
        <v>-2</v>
      </c>
      <c r="N6" s="10">
        <v>20</v>
      </c>
      <c r="O6" s="7">
        <v>2</v>
      </c>
      <c r="P6" s="7">
        <v>2</v>
      </c>
      <c r="Q6" s="55">
        <v>5.31</v>
      </c>
      <c r="R6" s="9">
        <v>6.31</v>
      </c>
      <c r="S6" s="9">
        <v>5.79</v>
      </c>
      <c r="T6" s="56">
        <f t="shared" si="4"/>
        <v>1</v>
      </c>
      <c r="U6" s="48">
        <f t="shared" si="5"/>
        <v>-15.12</v>
      </c>
      <c r="V6" s="10">
        <v>20.91</v>
      </c>
      <c r="W6" s="7">
        <v>3</v>
      </c>
      <c r="X6" s="7">
        <v>3</v>
      </c>
      <c r="Y6" s="46">
        <v>5</v>
      </c>
      <c r="Z6" s="1">
        <v>10</v>
      </c>
      <c r="AA6" s="1">
        <v>6</v>
      </c>
      <c r="AB6" s="47">
        <f t="shared" si="6"/>
        <v>5</v>
      </c>
      <c r="AC6" s="48">
        <f t="shared" si="7"/>
        <v>0</v>
      </c>
      <c r="AD6" s="10">
        <v>6</v>
      </c>
      <c r="AE6" s="7">
        <v>2</v>
      </c>
      <c r="AF6" s="7">
        <v>2</v>
      </c>
      <c r="AG6" s="46">
        <v>2</v>
      </c>
      <c r="AH6" s="1">
        <v>3</v>
      </c>
      <c r="AI6" s="1">
        <v>2.5</v>
      </c>
      <c r="AJ6" s="47">
        <f t="shared" si="8"/>
        <v>1</v>
      </c>
      <c r="AK6" s="48">
        <f t="shared" si="9"/>
        <v>-0.24</v>
      </c>
      <c r="AL6" s="10">
        <v>2.74</v>
      </c>
      <c r="AM6" s="7">
        <v>2</v>
      </c>
      <c r="AN6" s="7">
        <v>2</v>
      </c>
      <c r="AO6" s="57">
        <v>8</v>
      </c>
      <c r="AP6" s="9">
        <v>10</v>
      </c>
      <c r="AQ6" s="9">
        <v>9</v>
      </c>
      <c r="AR6" s="56">
        <f t="shared" si="10"/>
        <v>2</v>
      </c>
      <c r="AS6" s="48">
        <f t="shared" si="11"/>
        <v>-7</v>
      </c>
      <c r="AT6" s="10">
        <v>16</v>
      </c>
      <c r="AU6" s="7">
        <v>3</v>
      </c>
      <c r="AV6" s="7">
        <v>3</v>
      </c>
      <c r="AW6" s="39">
        <v>3</v>
      </c>
      <c r="AX6" s="39">
        <v>3</v>
      </c>
      <c r="AY6" s="7">
        <v>0.008942</v>
      </c>
    </row>
    <row r="7" spans="1:51">
      <c r="A7" s="46">
        <v>8.92</v>
      </c>
      <c r="B7" s="1">
        <v>9.89</v>
      </c>
      <c r="C7" s="1">
        <v>9.8</v>
      </c>
      <c r="D7" s="47">
        <f t="shared" si="0"/>
        <v>0.970000000000001</v>
      </c>
      <c r="E7" s="48">
        <f t="shared" si="1"/>
        <v>0.220000000000001</v>
      </c>
      <c r="F7" s="10">
        <v>9.58</v>
      </c>
      <c r="G7" s="7">
        <v>1</v>
      </c>
      <c r="H7" s="7">
        <v>3</v>
      </c>
      <c r="I7" s="49">
        <v>10</v>
      </c>
      <c r="J7" s="3">
        <v>30</v>
      </c>
      <c r="K7" s="3">
        <v>22</v>
      </c>
      <c r="L7" s="50">
        <f t="shared" si="2"/>
        <v>20</v>
      </c>
      <c r="M7" s="48">
        <f t="shared" si="3"/>
        <v>2</v>
      </c>
      <c r="N7" s="10">
        <v>20</v>
      </c>
      <c r="O7" s="7">
        <v>2</v>
      </c>
      <c r="P7" s="7">
        <v>3</v>
      </c>
      <c r="Q7" s="55">
        <v>8</v>
      </c>
      <c r="R7" s="9">
        <v>12</v>
      </c>
      <c r="S7" s="9">
        <v>10</v>
      </c>
      <c r="T7" s="56">
        <f t="shared" si="4"/>
        <v>4</v>
      </c>
      <c r="U7" s="48">
        <f t="shared" si="5"/>
        <v>-10.91</v>
      </c>
      <c r="V7" s="10">
        <v>20.91</v>
      </c>
      <c r="W7" s="7">
        <v>2</v>
      </c>
      <c r="X7" s="7">
        <v>4</v>
      </c>
      <c r="Y7" s="49">
        <v>5</v>
      </c>
      <c r="Z7" s="3">
        <v>30</v>
      </c>
      <c r="AA7" s="3">
        <v>15</v>
      </c>
      <c r="AB7" s="50">
        <f t="shared" si="6"/>
        <v>25</v>
      </c>
      <c r="AC7" s="48">
        <f t="shared" si="7"/>
        <v>9</v>
      </c>
      <c r="AD7" s="10">
        <v>6</v>
      </c>
      <c r="AE7" s="7">
        <v>2</v>
      </c>
      <c r="AF7" s="7">
        <v>3</v>
      </c>
      <c r="AG7" s="46">
        <v>2</v>
      </c>
      <c r="AH7" s="1">
        <v>4</v>
      </c>
      <c r="AI7" s="1">
        <v>3</v>
      </c>
      <c r="AJ7" s="47">
        <f t="shared" si="8"/>
        <v>2</v>
      </c>
      <c r="AK7" s="48">
        <f t="shared" si="9"/>
        <v>0.26</v>
      </c>
      <c r="AL7" s="10">
        <v>2.74</v>
      </c>
      <c r="AM7" s="7">
        <v>1</v>
      </c>
      <c r="AN7" s="7">
        <v>3</v>
      </c>
      <c r="AO7" s="57">
        <v>5</v>
      </c>
      <c r="AP7" s="9">
        <v>10</v>
      </c>
      <c r="AQ7" s="9">
        <v>8</v>
      </c>
      <c r="AR7" s="56">
        <f t="shared" si="10"/>
        <v>5</v>
      </c>
      <c r="AS7" s="48">
        <f t="shared" si="11"/>
        <v>-8</v>
      </c>
      <c r="AT7" s="10">
        <v>16</v>
      </c>
      <c r="AU7" s="7">
        <v>2</v>
      </c>
      <c r="AV7" s="7">
        <v>4</v>
      </c>
      <c r="AW7" s="39">
        <v>2</v>
      </c>
      <c r="AX7" s="39">
        <v>4</v>
      </c>
      <c r="AY7" s="7">
        <v>0.004954</v>
      </c>
    </row>
    <row r="8" spans="1:51">
      <c r="A8" s="59">
        <v>7</v>
      </c>
      <c r="B8" s="10">
        <v>9</v>
      </c>
      <c r="C8" s="10">
        <v>8</v>
      </c>
      <c r="D8" s="56">
        <f t="shared" si="0"/>
        <v>2</v>
      </c>
      <c r="E8" s="48">
        <f t="shared" si="1"/>
        <v>-1.58</v>
      </c>
      <c r="F8" s="10">
        <v>9.58</v>
      </c>
      <c r="G8" s="7">
        <v>3</v>
      </c>
      <c r="H8" s="7">
        <v>4</v>
      </c>
      <c r="I8" s="49">
        <v>10</v>
      </c>
      <c r="J8" s="3">
        <v>25</v>
      </c>
      <c r="K8" s="3">
        <v>15</v>
      </c>
      <c r="L8" s="50">
        <f t="shared" si="2"/>
        <v>15</v>
      </c>
      <c r="M8" s="48">
        <f t="shared" si="3"/>
        <v>-5</v>
      </c>
      <c r="N8" s="10">
        <v>20</v>
      </c>
      <c r="O8" s="7">
        <v>3</v>
      </c>
      <c r="P8" s="7">
        <v>3</v>
      </c>
      <c r="Q8" s="60">
        <v>10</v>
      </c>
      <c r="R8" s="1">
        <v>25</v>
      </c>
      <c r="S8" s="1">
        <v>15</v>
      </c>
      <c r="T8" s="47">
        <f t="shared" si="4"/>
        <v>15</v>
      </c>
      <c r="U8" s="48">
        <f t="shared" si="5"/>
        <v>-5.91</v>
      </c>
      <c r="V8" s="10">
        <v>20.91</v>
      </c>
      <c r="W8" s="7">
        <v>2</v>
      </c>
      <c r="X8" s="7">
        <v>3</v>
      </c>
      <c r="Y8" s="46">
        <v>5</v>
      </c>
      <c r="Z8" s="1">
        <v>10</v>
      </c>
      <c r="AA8" s="1">
        <v>7</v>
      </c>
      <c r="AB8" s="47">
        <f t="shared" si="6"/>
        <v>5</v>
      </c>
      <c r="AC8" s="48">
        <f t="shared" si="7"/>
        <v>1</v>
      </c>
      <c r="AD8" s="10">
        <v>6</v>
      </c>
      <c r="AE8" s="7">
        <v>2</v>
      </c>
      <c r="AF8" s="7">
        <v>3</v>
      </c>
      <c r="AG8" s="59">
        <v>5</v>
      </c>
      <c r="AH8" s="10">
        <v>8</v>
      </c>
      <c r="AI8" s="10">
        <v>6</v>
      </c>
      <c r="AJ8" s="56">
        <f t="shared" si="8"/>
        <v>3</v>
      </c>
      <c r="AK8" s="48">
        <f t="shared" si="9"/>
        <v>3.26</v>
      </c>
      <c r="AL8" s="10">
        <v>2.74</v>
      </c>
      <c r="AM8" s="7">
        <v>3</v>
      </c>
      <c r="AN8" s="7">
        <v>4</v>
      </c>
      <c r="AO8" s="46">
        <v>15</v>
      </c>
      <c r="AP8" s="1">
        <v>25</v>
      </c>
      <c r="AQ8" s="1">
        <v>20</v>
      </c>
      <c r="AR8" s="47">
        <f t="shared" si="10"/>
        <v>10</v>
      </c>
      <c r="AS8" s="48">
        <f t="shared" si="11"/>
        <v>4</v>
      </c>
      <c r="AT8" s="10">
        <v>16</v>
      </c>
      <c r="AU8" s="7">
        <v>2</v>
      </c>
      <c r="AV8" s="7">
        <v>3</v>
      </c>
      <c r="AW8" s="39">
        <v>3</v>
      </c>
      <c r="AX8" s="39">
        <v>4</v>
      </c>
      <c r="AY8" s="7">
        <v>0.1526</v>
      </c>
    </row>
    <row r="9" spans="1:51">
      <c r="A9" s="46">
        <v>8</v>
      </c>
      <c r="B9" s="1">
        <v>10</v>
      </c>
      <c r="C9" s="1">
        <v>9.7</v>
      </c>
      <c r="D9" s="47">
        <f t="shared" si="0"/>
        <v>2</v>
      </c>
      <c r="E9" s="48">
        <f t="shared" si="1"/>
        <v>0.119999999999999</v>
      </c>
      <c r="F9" s="10">
        <v>9.58</v>
      </c>
      <c r="G9" s="7">
        <v>2</v>
      </c>
      <c r="H9" s="7">
        <v>2</v>
      </c>
      <c r="I9" s="46">
        <v>18</v>
      </c>
      <c r="J9" s="1">
        <v>26</v>
      </c>
      <c r="K9" s="1">
        <v>20</v>
      </c>
      <c r="L9" s="47">
        <f t="shared" si="2"/>
        <v>8</v>
      </c>
      <c r="M9" s="48">
        <f t="shared" si="3"/>
        <v>0</v>
      </c>
      <c r="N9" s="10">
        <v>20</v>
      </c>
      <c r="O9" s="7">
        <v>2</v>
      </c>
      <c r="P9" s="7">
        <v>2</v>
      </c>
      <c r="Q9" s="58">
        <v>8</v>
      </c>
      <c r="R9" s="10">
        <v>10</v>
      </c>
      <c r="S9" s="10">
        <v>9</v>
      </c>
      <c r="T9" s="56">
        <f t="shared" si="4"/>
        <v>2</v>
      </c>
      <c r="U9" s="48">
        <f t="shared" si="5"/>
        <v>-11.91</v>
      </c>
      <c r="V9" s="10">
        <v>20.91</v>
      </c>
      <c r="W9" s="7">
        <v>3</v>
      </c>
      <c r="X9" s="7">
        <v>3</v>
      </c>
      <c r="Y9" s="46">
        <v>2</v>
      </c>
      <c r="Z9" s="1">
        <v>6</v>
      </c>
      <c r="AA9" s="1">
        <v>4</v>
      </c>
      <c r="AB9" s="47">
        <f t="shared" si="6"/>
        <v>4</v>
      </c>
      <c r="AC9" s="48">
        <f t="shared" si="7"/>
        <v>-2</v>
      </c>
      <c r="AD9" s="10">
        <v>6</v>
      </c>
      <c r="AE9" s="7">
        <v>2</v>
      </c>
      <c r="AF9" s="7">
        <v>2</v>
      </c>
      <c r="AG9" s="59">
        <v>3</v>
      </c>
      <c r="AH9" s="10">
        <v>3.5</v>
      </c>
      <c r="AI9" s="10">
        <v>3</v>
      </c>
      <c r="AJ9" s="56">
        <f t="shared" si="8"/>
        <v>0.5</v>
      </c>
      <c r="AK9" s="48">
        <f t="shared" si="9"/>
        <v>0.26</v>
      </c>
      <c r="AL9" s="10">
        <v>2.74</v>
      </c>
      <c r="AM9" s="7">
        <v>3</v>
      </c>
      <c r="AN9" s="7">
        <v>3</v>
      </c>
      <c r="AO9" s="59">
        <v>8</v>
      </c>
      <c r="AP9" s="10">
        <v>14</v>
      </c>
      <c r="AQ9" s="10">
        <v>12</v>
      </c>
      <c r="AR9" s="56">
        <f t="shared" si="10"/>
        <v>6</v>
      </c>
      <c r="AS9" s="48">
        <f t="shared" si="11"/>
        <v>-4</v>
      </c>
      <c r="AT9" s="10">
        <v>16</v>
      </c>
      <c r="AU9" s="7">
        <v>3</v>
      </c>
      <c r="AV9" s="7">
        <v>3</v>
      </c>
      <c r="AW9" s="39">
        <v>3</v>
      </c>
      <c r="AX9" s="39">
        <v>3</v>
      </c>
      <c r="AY9" s="7">
        <v>0.04043</v>
      </c>
    </row>
    <row r="10" spans="1:51">
      <c r="A10" s="46">
        <v>8</v>
      </c>
      <c r="B10" s="1">
        <v>10</v>
      </c>
      <c r="C10" s="1">
        <v>9.18</v>
      </c>
      <c r="D10" s="47">
        <f t="shared" si="0"/>
        <v>2</v>
      </c>
      <c r="E10" s="48">
        <f t="shared" si="1"/>
        <v>-0.4</v>
      </c>
      <c r="F10" s="10">
        <v>9.58</v>
      </c>
      <c r="G10" s="7">
        <v>1</v>
      </c>
      <c r="H10" s="7">
        <v>2</v>
      </c>
      <c r="I10" s="49">
        <v>20</v>
      </c>
      <c r="J10" s="3">
        <v>40</v>
      </c>
      <c r="K10" s="3">
        <v>34</v>
      </c>
      <c r="L10" s="50">
        <f t="shared" si="2"/>
        <v>20</v>
      </c>
      <c r="M10" s="48">
        <f t="shared" si="3"/>
        <v>14</v>
      </c>
      <c r="N10" s="10">
        <v>20</v>
      </c>
      <c r="O10" s="7">
        <v>2</v>
      </c>
      <c r="P10" s="7">
        <v>2</v>
      </c>
      <c r="Q10" s="58">
        <v>1</v>
      </c>
      <c r="R10" s="10">
        <v>2.59</v>
      </c>
      <c r="S10" s="10">
        <v>2.23</v>
      </c>
      <c r="T10" s="56">
        <f t="shared" si="4"/>
        <v>1.59</v>
      </c>
      <c r="U10" s="48">
        <f t="shared" si="5"/>
        <v>-18.68</v>
      </c>
      <c r="V10" s="10">
        <v>20.91</v>
      </c>
      <c r="W10" s="7">
        <v>2</v>
      </c>
      <c r="X10" s="7">
        <v>3</v>
      </c>
      <c r="Y10" s="59">
        <v>30</v>
      </c>
      <c r="Z10" s="10">
        <v>50</v>
      </c>
      <c r="AA10" s="10">
        <v>41</v>
      </c>
      <c r="AB10" s="56">
        <f t="shared" si="6"/>
        <v>20</v>
      </c>
      <c r="AC10" s="48">
        <f t="shared" si="7"/>
        <v>35</v>
      </c>
      <c r="AD10" s="10">
        <v>6</v>
      </c>
      <c r="AE10" s="7">
        <v>2</v>
      </c>
      <c r="AF10" s="7">
        <v>3</v>
      </c>
      <c r="AG10" s="46">
        <v>2</v>
      </c>
      <c r="AH10" s="1">
        <v>3</v>
      </c>
      <c r="AI10" s="1">
        <v>2.2</v>
      </c>
      <c r="AJ10" s="47">
        <f t="shared" si="8"/>
        <v>1</v>
      </c>
      <c r="AK10" s="48">
        <f t="shared" si="9"/>
        <v>-0.54</v>
      </c>
      <c r="AL10" s="10">
        <v>2.74</v>
      </c>
      <c r="AM10" s="7">
        <v>1</v>
      </c>
      <c r="AN10" s="7">
        <v>2</v>
      </c>
      <c r="AO10" s="59">
        <v>10</v>
      </c>
      <c r="AP10" s="10">
        <v>15</v>
      </c>
      <c r="AQ10" s="10">
        <v>12</v>
      </c>
      <c r="AR10" s="56">
        <f t="shared" si="10"/>
        <v>5</v>
      </c>
      <c r="AS10" s="48">
        <f t="shared" si="11"/>
        <v>-4</v>
      </c>
      <c r="AT10" s="10">
        <v>16</v>
      </c>
      <c r="AU10" s="7">
        <v>2</v>
      </c>
      <c r="AV10" s="7">
        <v>3</v>
      </c>
      <c r="AW10" s="39">
        <v>2</v>
      </c>
      <c r="AX10" s="39">
        <v>3</v>
      </c>
      <c r="AY10" s="7">
        <v>0.001212</v>
      </c>
    </row>
    <row r="11" spans="1:51">
      <c r="A11" s="49">
        <v>5</v>
      </c>
      <c r="B11" s="3">
        <v>10</v>
      </c>
      <c r="C11" s="3">
        <v>6.5</v>
      </c>
      <c r="D11" s="50">
        <f t="shared" si="0"/>
        <v>5</v>
      </c>
      <c r="E11" s="48">
        <f t="shared" si="1"/>
        <v>-3.08</v>
      </c>
      <c r="F11" s="10">
        <v>9.58</v>
      </c>
      <c r="G11" s="7">
        <v>2</v>
      </c>
      <c r="H11" s="7">
        <v>3</v>
      </c>
      <c r="I11" s="46">
        <v>20</v>
      </c>
      <c r="J11" s="1">
        <v>25</v>
      </c>
      <c r="K11" s="1">
        <v>22</v>
      </c>
      <c r="L11" s="47">
        <f t="shared" si="2"/>
        <v>5</v>
      </c>
      <c r="M11" s="48">
        <f t="shared" si="3"/>
        <v>2</v>
      </c>
      <c r="N11" s="10">
        <v>20</v>
      </c>
      <c r="O11" s="7">
        <v>1</v>
      </c>
      <c r="P11" s="7">
        <v>3</v>
      </c>
      <c r="Q11" s="60">
        <v>10</v>
      </c>
      <c r="R11" s="1">
        <v>25</v>
      </c>
      <c r="S11" s="1">
        <v>20</v>
      </c>
      <c r="T11" s="47">
        <f t="shared" si="4"/>
        <v>15</v>
      </c>
      <c r="U11" s="48">
        <f t="shared" si="5"/>
        <v>-0.91</v>
      </c>
      <c r="V11" s="10">
        <v>20.91</v>
      </c>
      <c r="W11" s="7">
        <v>1</v>
      </c>
      <c r="X11" s="7">
        <v>3</v>
      </c>
      <c r="Y11" s="49">
        <v>5</v>
      </c>
      <c r="Z11" s="3">
        <v>20</v>
      </c>
      <c r="AA11" s="3">
        <v>10</v>
      </c>
      <c r="AB11" s="50">
        <f t="shared" si="6"/>
        <v>15</v>
      </c>
      <c r="AC11" s="48">
        <f t="shared" si="7"/>
        <v>4</v>
      </c>
      <c r="AD11" s="10">
        <v>6</v>
      </c>
      <c r="AE11" s="7">
        <v>2</v>
      </c>
      <c r="AF11" s="7">
        <v>3</v>
      </c>
      <c r="AG11" s="57">
        <v>1.5</v>
      </c>
      <c r="AH11" s="9">
        <v>2.5</v>
      </c>
      <c r="AI11" s="9">
        <v>2</v>
      </c>
      <c r="AJ11" s="56">
        <f t="shared" si="8"/>
        <v>1</v>
      </c>
      <c r="AK11" s="48">
        <f t="shared" si="9"/>
        <v>-0.74</v>
      </c>
      <c r="AL11" s="10">
        <v>2.74</v>
      </c>
      <c r="AM11" s="7">
        <v>2</v>
      </c>
      <c r="AN11" s="7">
        <v>4</v>
      </c>
      <c r="AO11" s="59">
        <v>5</v>
      </c>
      <c r="AP11" s="10">
        <v>10</v>
      </c>
      <c r="AQ11" s="10">
        <v>8</v>
      </c>
      <c r="AR11" s="56">
        <f t="shared" si="10"/>
        <v>5</v>
      </c>
      <c r="AS11" s="48">
        <f t="shared" si="11"/>
        <v>-8</v>
      </c>
      <c r="AT11" s="10">
        <v>16</v>
      </c>
      <c r="AU11" s="7">
        <v>2</v>
      </c>
      <c r="AV11" s="7">
        <v>4</v>
      </c>
      <c r="AW11" s="39">
        <v>2</v>
      </c>
      <c r="AX11" s="39">
        <v>4</v>
      </c>
      <c r="AY11" s="7">
        <v>0.02729</v>
      </c>
    </row>
    <row r="12" spans="1:51">
      <c r="A12" s="46">
        <v>9.58</v>
      </c>
      <c r="B12" s="1">
        <v>9.58</v>
      </c>
      <c r="C12" s="1">
        <v>9.58</v>
      </c>
      <c r="D12" s="47">
        <f t="shared" si="0"/>
        <v>0</v>
      </c>
      <c r="E12" s="48">
        <f t="shared" si="1"/>
        <v>0</v>
      </c>
      <c r="F12" s="10">
        <v>9.58</v>
      </c>
      <c r="G12" s="7">
        <v>3</v>
      </c>
      <c r="H12" s="7">
        <v>3</v>
      </c>
      <c r="I12" s="46">
        <v>19</v>
      </c>
      <c r="J12" s="1">
        <v>21</v>
      </c>
      <c r="K12" s="1">
        <v>20</v>
      </c>
      <c r="L12" s="47">
        <f t="shared" si="2"/>
        <v>2</v>
      </c>
      <c r="M12" s="48">
        <f t="shared" si="3"/>
        <v>0</v>
      </c>
      <c r="N12" s="10">
        <v>20</v>
      </c>
      <c r="O12" s="7">
        <v>3</v>
      </c>
      <c r="P12" s="7">
        <v>3</v>
      </c>
      <c r="Q12" s="58">
        <v>48.01</v>
      </c>
      <c r="R12" s="10">
        <v>50.05</v>
      </c>
      <c r="S12" s="10">
        <v>50</v>
      </c>
      <c r="T12" s="56">
        <f t="shared" si="4"/>
        <v>2.04</v>
      </c>
      <c r="U12" s="48">
        <f t="shared" si="5"/>
        <v>29.09</v>
      </c>
      <c r="V12" s="10">
        <v>20.91</v>
      </c>
      <c r="W12" s="7">
        <v>4</v>
      </c>
      <c r="X12" s="7">
        <v>4</v>
      </c>
      <c r="Y12" s="46">
        <v>5</v>
      </c>
      <c r="Z12" s="1">
        <v>9</v>
      </c>
      <c r="AA12" s="1">
        <v>6</v>
      </c>
      <c r="AB12" s="47">
        <f t="shared" si="6"/>
        <v>4</v>
      </c>
      <c r="AC12" s="48">
        <f t="shared" si="7"/>
        <v>0</v>
      </c>
      <c r="AD12" s="10">
        <v>6</v>
      </c>
      <c r="AE12" s="7">
        <v>3</v>
      </c>
      <c r="AF12" s="7">
        <v>3</v>
      </c>
      <c r="AG12" s="59">
        <v>1.5</v>
      </c>
      <c r="AH12" s="10">
        <v>2.5</v>
      </c>
      <c r="AI12" s="10">
        <v>1.8</v>
      </c>
      <c r="AJ12" s="56">
        <f t="shared" si="8"/>
        <v>1</v>
      </c>
      <c r="AK12" s="48">
        <f t="shared" si="9"/>
        <v>-0.94</v>
      </c>
      <c r="AL12" s="10">
        <v>2.74</v>
      </c>
      <c r="AM12" s="7">
        <v>4</v>
      </c>
      <c r="AN12" s="7">
        <v>4</v>
      </c>
      <c r="AO12" s="46">
        <v>12</v>
      </c>
      <c r="AP12" s="1">
        <v>16</v>
      </c>
      <c r="AQ12" s="1">
        <v>14</v>
      </c>
      <c r="AR12" s="47">
        <f t="shared" si="10"/>
        <v>4</v>
      </c>
      <c r="AS12" s="48">
        <f t="shared" si="11"/>
        <v>-2</v>
      </c>
      <c r="AT12" s="10">
        <v>16</v>
      </c>
      <c r="AU12" s="7">
        <v>3</v>
      </c>
      <c r="AV12" s="7">
        <v>3</v>
      </c>
      <c r="AW12" s="39">
        <v>4</v>
      </c>
      <c r="AX12" s="39">
        <v>4</v>
      </c>
      <c r="AY12" s="7">
        <v>0.245</v>
      </c>
    </row>
    <row r="13" spans="1:51">
      <c r="A13" s="59">
        <v>9.6</v>
      </c>
      <c r="B13" s="10">
        <v>9.7</v>
      </c>
      <c r="C13" s="10">
        <v>9.68</v>
      </c>
      <c r="D13" s="56">
        <f t="shared" si="0"/>
        <v>0.0999999999999996</v>
      </c>
      <c r="E13" s="48">
        <f t="shared" si="1"/>
        <v>0.0999999999999996</v>
      </c>
      <c r="F13" s="10">
        <v>9.58</v>
      </c>
      <c r="G13" s="7">
        <v>2</v>
      </c>
      <c r="H13" s="7">
        <v>4</v>
      </c>
      <c r="I13" s="49">
        <v>10</v>
      </c>
      <c r="J13" s="3">
        <v>30</v>
      </c>
      <c r="K13" s="3">
        <v>20</v>
      </c>
      <c r="L13" s="50">
        <f t="shared" si="2"/>
        <v>20</v>
      </c>
      <c r="M13" s="48">
        <f t="shared" si="3"/>
        <v>0</v>
      </c>
      <c r="N13" s="10">
        <v>20</v>
      </c>
      <c r="O13" s="7">
        <v>2</v>
      </c>
      <c r="P13" s="7">
        <v>3</v>
      </c>
      <c r="Q13" s="58">
        <v>8</v>
      </c>
      <c r="R13" s="10">
        <v>20</v>
      </c>
      <c r="S13" s="10">
        <v>12</v>
      </c>
      <c r="T13" s="56">
        <f t="shared" si="4"/>
        <v>12</v>
      </c>
      <c r="U13" s="48">
        <f t="shared" si="5"/>
        <v>-8.91</v>
      </c>
      <c r="V13" s="10">
        <v>20.91</v>
      </c>
      <c r="W13" s="7">
        <v>2</v>
      </c>
      <c r="X13" s="7">
        <v>4</v>
      </c>
      <c r="Y13" s="49">
        <v>2</v>
      </c>
      <c r="Z13" s="3">
        <v>20</v>
      </c>
      <c r="AA13" s="3">
        <v>6</v>
      </c>
      <c r="AB13" s="50">
        <f t="shared" si="6"/>
        <v>18</v>
      </c>
      <c r="AC13" s="48">
        <f t="shared" si="7"/>
        <v>0</v>
      </c>
      <c r="AD13" s="10">
        <v>6</v>
      </c>
      <c r="AE13" s="7">
        <v>2</v>
      </c>
      <c r="AF13" s="7">
        <v>3</v>
      </c>
      <c r="AG13" s="46">
        <v>2</v>
      </c>
      <c r="AH13" s="1">
        <v>4</v>
      </c>
      <c r="AI13" s="1">
        <v>3</v>
      </c>
      <c r="AJ13" s="47">
        <f t="shared" si="8"/>
        <v>2</v>
      </c>
      <c r="AK13" s="48">
        <f t="shared" si="9"/>
        <v>0.26</v>
      </c>
      <c r="AL13" s="10">
        <v>2.74</v>
      </c>
      <c r="AM13" s="7">
        <v>1</v>
      </c>
      <c r="AN13" s="7">
        <v>3</v>
      </c>
      <c r="AO13" s="46">
        <v>5</v>
      </c>
      <c r="AP13" s="1">
        <v>20</v>
      </c>
      <c r="AQ13" s="1">
        <v>8</v>
      </c>
      <c r="AR13" s="47">
        <f t="shared" si="10"/>
        <v>15</v>
      </c>
      <c r="AS13" s="48">
        <f t="shared" si="11"/>
        <v>-8</v>
      </c>
      <c r="AT13" s="10">
        <v>16</v>
      </c>
      <c r="AU13" s="7">
        <v>1</v>
      </c>
      <c r="AV13" s="7">
        <v>3</v>
      </c>
      <c r="AW13" s="39">
        <v>2</v>
      </c>
      <c r="AX13" s="39">
        <v>4</v>
      </c>
      <c r="AY13" s="7">
        <v>0.1279</v>
      </c>
    </row>
    <row r="14" spans="1:51">
      <c r="A14" s="46">
        <v>8</v>
      </c>
      <c r="B14" s="1">
        <v>10</v>
      </c>
      <c r="C14" s="1">
        <v>8.9</v>
      </c>
      <c r="D14" s="47">
        <f t="shared" si="0"/>
        <v>2</v>
      </c>
      <c r="E14" s="48">
        <f t="shared" si="1"/>
        <v>-0.68</v>
      </c>
      <c r="F14" s="10">
        <v>9.58</v>
      </c>
      <c r="G14" s="7">
        <v>2</v>
      </c>
      <c r="H14" s="7">
        <v>2</v>
      </c>
      <c r="I14" s="59">
        <v>10</v>
      </c>
      <c r="J14" s="10">
        <v>15</v>
      </c>
      <c r="K14" s="10">
        <v>12</v>
      </c>
      <c r="L14" s="56">
        <f t="shared" si="2"/>
        <v>5</v>
      </c>
      <c r="M14" s="48">
        <f t="shared" si="3"/>
        <v>-8</v>
      </c>
      <c r="N14" s="10">
        <v>20</v>
      </c>
      <c r="O14" s="7">
        <v>3</v>
      </c>
      <c r="P14" s="7">
        <v>3</v>
      </c>
      <c r="Q14" s="58">
        <v>10</v>
      </c>
      <c r="R14" s="10">
        <v>20</v>
      </c>
      <c r="S14" s="10">
        <v>13</v>
      </c>
      <c r="T14" s="56">
        <f t="shared" si="4"/>
        <v>10</v>
      </c>
      <c r="U14" s="48">
        <f t="shared" si="5"/>
        <v>-7.91</v>
      </c>
      <c r="V14" s="10">
        <v>20.91</v>
      </c>
      <c r="W14" s="7">
        <v>3</v>
      </c>
      <c r="X14" s="7">
        <v>3</v>
      </c>
      <c r="Y14" s="46">
        <v>3</v>
      </c>
      <c r="Z14" s="1">
        <v>7</v>
      </c>
      <c r="AA14" s="1">
        <v>5</v>
      </c>
      <c r="AB14" s="47">
        <f t="shared" si="6"/>
        <v>4</v>
      </c>
      <c r="AC14" s="48">
        <f t="shared" si="7"/>
        <v>-1</v>
      </c>
      <c r="AD14" s="10">
        <v>6</v>
      </c>
      <c r="AE14" s="7">
        <v>2</v>
      </c>
      <c r="AF14" s="7">
        <v>2</v>
      </c>
      <c r="AG14" s="46">
        <v>1.5</v>
      </c>
      <c r="AH14" s="1">
        <v>3</v>
      </c>
      <c r="AI14" s="1">
        <v>2</v>
      </c>
      <c r="AJ14" s="47">
        <f t="shared" si="8"/>
        <v>1.5</v>
      </c>
      <c r="AK14" s="48">
        <f t="shared" si="9"/>
        <v>-0.74</v>
      </c>
      <c r="AL14" s="10">
        <v>2.74</v>
      </c>
      <c r="AM14" s="7">
        <v>2</v>
      </c>
      <c r="AN14" s="7">
        <v>2</v>
      </c>
      <c r="AO14" s="59">
        <v>10</v>
      </c>
      <c r="AP14" s="10">
        <v>14</v>
      </c>
      <c r="AQ14" s="10">
        <v>12</v>
      </c>
      <c r="AR14" s="56">
        <f t="shared" si="10"/>
        <v>4</v>
      </c>
      <c r="AS14" s="48">
        <f t="shared" si="11"/>
        <v>-4</v>
      </c>
      <c r="AT14" s="10">
        <v>16</v>
      </c>
      <c r="AU14" s="7">
        <v>3</v>
      </c>
      <c r="AV14" s="7">
        <v>3</v>
      </c>
      <c r="AW14" s="39">
        <v>3</v>
      </c>
      <c r="AX14" s="39">
        <v>3</v>
      </c>
      <c r="AY14" s="7">
        <v>0.00102</v>
      </c>
    </row>
    <row r="15" spans="1:51">
      <c r="A15" s="46">
        <v>8.69</v>
      </c>
      <c r="B15" s="1">
        <v>9.73</v>
      </c>
      <c r="C15" s="1">
        <v>9.73</v>
      </c>
      <c r="D15" s="47">
        <f t="shared" si="0"/>
        <v>1.04</v>
      </c>
      <c r="E15" s="48">
        <f t="shared" si="1"/>
        <v>0.15</v>
      </c>
      <c r="F15" s="10">
        <v>9.58</v>
      </c>
      <c r="G15" s="7">
        <v>1</v>
      </c>
      <c r="H15" s="7">
        <v>1</v>
      </c>
      <c r="I15" s="46">
        <v>10</v>
      </c>
      <c r="J15" s="1">
        <v>23</v>
      </c>
      <c r="K15" s="1">
        <v>15</v>
      </c>
      <c r="L15" s="47">
        <f t="shared" si="2"/>
        <v>13</v>
      </c>
      <c r="M15" s="48">
        <f t="shared" si="3"/>
        <v>-5</v>
      </c>
      <c r="N15" s="10">
        <v>20</v>
      </c>
      <c r="O15" s="7">
        <v>1</v>
      </c>
      <c r="P15" s="7">
        <v>1</v>
      </c>
      <c r="Q15" s="58">
        <v>5.83</v>
      </c>
      <c r="R15" s="10">
        <v>9.55</v>
      </c>
      <c r="S15" s="10">
        <v>8.5</v>
      </c>
      <c r="T15" s="56">
        <f t="shared" si="4"/>
        <v>3.72</v>
      </c>
      <c r="U15" s="48">
        <f t="shared" si="5"/>
        <v>-12.41</v>
      </c>
      <c r="V15" s="10">
        <v>20.91</v>
      </c>
      <c r="W15" s="7">
        <v>2</v>
      </c>
      <c r="X15" s="7">
        <v>2</v>
      </c>
      <c r="Y15" s="59">
        <v>0</v>
      </c>
      <c r="Z15" s="10">
        <v>3</v>
      </c>
      <c r="AA15" s="10">
        <v>2</v>
      </c>
      <c r="AB15" s="56">
        <f t="shared" si="6"/>
        <v>3</v>
      </c>
      <c r="AC15" s="48">
        <f t="shared" si="7"/>
        <v>-4</v>
      </c>
      <c r="AD15" s="10">
        <v>6</v>
      </c>
      <c r="AE15" s="7">
        <v>2</v>
      </c>
      <c r="AF15" s="7">
        <v>2</v>
      </c>
      <c r="AG15" s="59">
        <v>3</v>
      </c>
      <c r="AH15" s="10">
        <v>3.33</v>
      </c>
      <c r="AI15" s="10">
        <v>3.25</v>
      </c>
      <c r="AJ15" s="56">
        <f t="shared" si="8"/>
        <v>0.33</v>
      </c>
      <c r="AK15" s="48">
        <f t="shared" si="9"/>
        <v>0.51</v>
      </c>
      <c r="AL15" s="10">
        <v>2.74</v>
      </c>
      <c r="AM15" s="7">
        <v>2</v>
      </c>
      <c r="AN15" s="7">
        <v>2</v>
      </c>
      <c r="AO15" s="59">
        <v>2</v>
      </c>
      <c r="AP15" s="10">
        <v>6</v>
      </c>
      <c r="AQ15" s="10">
        <v>3</v>
      </c>
      <c r="AR15" s="56">
        <f t="shared" si="10"/>
        <v>4</v>
      </c>
      <c r="AS15" s="48">
        <f t="shared" si="11"/>
        <v>-13</v>
      </c>
      <c r="AT15" s="10">
        <v>16</v>
      </c>
      <c r="AU15" s="7">
        <v>2</v>
      </c>
      <c r="AV15" s="7">
        <v>2</v>
      </c>
      <c r="AW15" s="39">
        <v>2</v>
      </c>
      <c r="AX15" s="39">
        <v>2</v>
      </c>
      <c r="AY15" s="7">
        <v>0.003929</v>
      </c>
    </row>
    <row r="16" spans="1:51">
      <c r="A16" s="59">
        <v>9</v>
      </c>
      <c r="B16" s="10">
        <v>9.3</v>
      </c>
      <c r="C16" s="10">
        <v>9.05</v>
      </c>
      <c r="D16" s="56">
        <f t="shared" si="0"/>
        <v>0.300000000000001</v>
      </c>
      <c r="E16" s="48">
        <f t="shared" si="1"/>
        <v>-0.529999999999999</v>
      </c>
      <c r="F16" s="10">
        <v>9.58</v>
      </c>
      <c r="G16" s="7">
        <v>2</v>
      </c>
      <c r="H16" s="7">
        <v>2</v>
      </c>
      <c r="I16" s="59">
        <v>7</v>
      </c>
      <c r="J16" s="10">
        <v>15</v>
      </c>
      <c r="K16" s="10">
        <v>9</v>
      </c>
      <c r="L16" s="56">
        <f t="shared" si="2"/>
        <v>8</v>
      </c>
      <c r="M16" s="48">
        <f t="shared" si="3"/>
        <v>-11</v>
      </c>
      <c r="N16" s="10">
        <v>20</v>
      </c>
      <c r="O16" s="7">
        <v>2</v>
      </c>
      <c r="P16" s="7">
        <v>2</v>
      </c>
      <c r="Q16" s="58">
        <v>12.04</v>
      </c>
      <c r="R16" s="10">
        <v>12.56</v>
      </c>
      <c r="S16" s="10">
        <v>12.37</v>
      </c>
      <c r="T16" s="56">
        <f t="shared" si="4"/>
        <v>0.520000000000001</v>
      </c>
      <c r="U16" s="48">
        <f t="shared" si="5"/>
        <v>-8.54</v>
      </c>
      <c r="V16" s="10">
        <v>20.91</v>
      </c>
      <c r="W16" s="7">
        <v>2</v>
      </c>
      <c r="X16" s="7">
        <v>2</v>
      </c>
      <c r="Y16" s="46">
        <v>3</v>
      </c>
      <c r="Z16" s="1">
        <v>10</v>
      </c>
      <c r="AA16" s="1">
        <v>4</v>
      </c>
      <c r="AB16" s="47">
        <f t="shared" si="6"/>
        <v>7</v>
      </c>
      <c r="AC16" s="48">
        <f t="shared" si="7"/>
        <v>-2</v>
      </c>
      <c r="AD16" s="10">
        <v>6</v>
      </c>
      <c r="AE16" s="7">
        <v>1</v>
      </c>
      <c r="AF16" s="7">
        <v>1</v>
      </c>
      <c r="AG16" s="59">
        <v>2</v>
      </c>
      <c r="AH16" s="10">
        <v>2.3</v>
      </c>
      <c r="AI16" s="10">
        <v>2.1</v>
      </c>
      <c r="AJ16" s="56">
        <f t="shared" si="8"/>
        <v>0.3</v>
      </c>
      <c r="AK16" s="48">
        <f t="shared" si="9"/>
        <v>-0.64</v>
      </c>
      <c r="AL16" s="10">
        <v>2.74</v>
      </c>
      <c r="AM16" s="7">
        <v>2</v>
      </c>
      <c r="AN16" s="7">
        <v>2</v>
      </c>
      <c r="AO16" s="46">
        <v>10</v>
      </c>
      <c r="AP16" s="1">
        <v>30</v>
      </c>
      <c r="AQ16" s="1">
        <v>20</v>
      </c>
      <c r="AR16" s="47">
        <f t="shared" si="10"/>
        <v>20</v>
      </c>
      <c r="AS16" s="48">
        <f t="shared" si="11"/>
        <v>4</v>
      </c>
      <c r="AT16" s="10">
        <v>16</v>
      </c>
      <c r="AU16" s="7">
        <v>1</v>
      </c>
      <c r="AV16" s="7">
        <v>1</v>
      </c>
      <c r="AW16" s="39">
        <v>2</v>
      </c>
      <c r="AX16" s="39">
        <v>2</v>
      </c>
      <c r="AY16" s="7">
        <v>0.0004798</v>
      </c>
    </row>
    <row r="17" spans="1:51">
      <c r="A17" s="59">
        <v>9.67</v>
      </c>
      <c r="B17" s="10">
        <v>9.69</v>
      </c>
      <c r="C17" s="10">
        <v>9.68</v>
      </c>
      <c r="D17" s="56">
        <f t="shared" si="0"/>
        <v>0.0199999999999996</v>
      </c>
      <c r="E17" s="48">
        <f t="shared" si="1"/>
        <v>0.0999999999999996</v>
      </c>
      <c r="F17" s="10">
        <v>9.58</v>
      </c>
      <c r="G17" s="7">
        <v>2</v>
      </c>
      <c r="H17" s="7">
        <v>2</v>
      </c>
      <c r="I17" s="46">
        <v>15</v>
      </c>
      <c r="J17" s="1">
        <v>22</v>
      </c>
      <c r="K17" s="1">
        <v>18</v>
      </c>
      <c r="L17" s="47">
        <f t="shared" si="2"/>
        <v>7</v>
      </c>
      <c r="M17" s="48">
        <f t="shared" si="3"/>
        <v>-2</v>
      </c>
      <c r="N17" s="10">
        <v>20</v>
      </c>
      <c r="O17" s="7">
        <v>1</v>
      </c>
      <c r="P17" s="7">
        <v>1</v>
      </c>
      <c r="Q17" s="58">
        <v>8</v>
      </c>
      <c r="R17" s="10">
        <v>15</v>
      </c>
      <c r="S17" s="10">
        <v>10</v>
      </c>
      <c r="T17" s="56">
        <f t="shared" si="4"/>
        <v>7</v>
      </c>
      <c r="U17" s="48">
        <f t="shared" si="5"/>
        <v>-10.91</v>
      </c>
      <c r="V17" s="10">
        <v>20.91</v>
      </c>
      <c r="W17" s="7">
        <v>2</v>
      </c>
      <c r="X17" s="7">
        <v>2</v>
      </c>
      <c r="Y17" s="46">
        <v>3</v>
      </c>
      <c r="Z17" s="1">
        <v>8</v>
      </c>
      <c r="AA17" s="1">
        <v>5</v>
      </c>
      <c r="AB17" s="47">
        <f t="shared" si="6"/>
        <v>5</v>
      </c>
      <c r="AC17" s="48">
        <f t="shared" si="7"/>
        <v>-1</v>
      </c>
      <c r="AD17" s="10">
        <v>6</v>
      </c>
      <c r="AE17" s="7">
        <v>1</v>
      </c>
      <c r="AF17" s="7">
        <v>1</v>
      </c>
      <c r="AG17" s="59">
        <v>1.5</v>
      </c>
      <c r="AH17" s="10">
        <v>2.5</v>
      </c>
      <c r="AI17" s="10">
        <v>2.2</v>
      </c>
      <c r="AJ17" s="56">
        <f t="shared" si="8"/>
        <v>1</v>
      </c>
      <c r="AK17" s="48">
        <f t="shared" si="9"/>
        <v>-0.54</v>
      </c>
      <c r="AL17" s="10">
        <v>2.74</v>
      </c>
      <c r="AM17" s="7">
        <v>2</v>
      </c>
      <c r="AN17" s="7">
        <v>2</v>
      </c>
      <c r="AO17" s="59">
        <v>8</v>
      </c>
      <c r="AP17" s="10">
        <v>12</v>
      </c>
      <c r="AQ17" s="10">
        <v>10</v>
      </c>
      <c r="AR17" s="56">
        <f t="shared" si="10"/>
        <v>4</v>
      </c>
      <c r="AS17" s="48">
        <f t="shared" si="11"/>
        <v>-6</v>
      </c>
      <c r="AT17" s="10">
        <v>16</v>
      </c>
      <c r="AU17" s="7">
        <v>2</v>
      </c>
      <c r="AV17" s="7">
        <v>2</v>
      </c>
      <c r="AW17" s="39">
        <v>2</v>
      </c>
      <c r="AX17" s="39">
        <v>2</v>
      </c>
      <c r="AY17" s="7">
        <v>0.001098</v>
      </c>
    </row>
    <row r="18" spans="1:51">
      <c r="A18" s="46">
        <v>9.58</v>
      </c>
      <c r="B18" s="1">
        <v>9.58</v>
      </c>
      <c r="C18" s="1">
        <v>9.58</v>
      </c>
      <c r="D18" s="47">
        <f t="shared" si="0"/>
        <v>0</v>
      </c>
      <c r="E18" s="48">
        <f t="shared" si="1"/>
        <v>0</v>
      </c>
      <c r="F18" s="10">
        <v>9.58</v>
      </c>
      <c r="G18" s="7">
        <v>1</v>
      </c>
      <c r="H18" s="7">
        <v>1</v>
      </c>
      <c r="I18" s="59">
        <v>15</v>
      </c>
      <c r="J18" s="10">
        <v>18</v>
      </c>
      <c r="K18" s="10">
        <v>18</v>
      </c>
      <c r="L18" s="56">
        <f t="shared" si="2"/>
        <v>3</v>
      </c>
      <c r="M18" s="48">
        <f t="shared" si="3"/>
        <v>-2</v>
      </c>
      <c r="N18" s="10">
        <v>20</v>
      </c>
      <c r="O18" s="7">
        <v>2</v>
      </c>
      <c r="P18" s="7">
        <v>2</v>
      </c>
      <c r="Q18" s="60">
        <v>20</v>
      </c>
      <c r="R18" s="1">
        <v>40</v>
      </c>
      <c r="S18" s="1">
        <v>30</v>
      </c>
      <c r="T18" s="47">
        <f t="shared" si="4"/>
        <v>20</v>
      </c>
      <c r="U18" s="48">
        <f t="shared" si="5"/>
        <v>9.09</v>
      </c>
      <c r="V18" s="10">
        <v>20.91</v>
      </c>
      <c r="W18" s="7">
        <v>1</v>
      </c>
      <c r="X18" s="7">
        <v>1</v>
      </c>
      <c r="Y18" s="59">
        <v>3</v>
      </c>
      <c r="Z18" s="10">
        <v>5</v>
      </c>
      <c r="AA18" s="10">
        <v>4</v>
      </c>
      <c r="AB18" s="56">
        <f t="shared" si="6"/>
        <v>2</v>
      </c>
      <c r="AC18" s="48">
        <f t="shared" si="7"/>
        <v>-2</v>
      </c>
      <c r="AD18" s="10">
        <v>6</v>
      </c>
      <c r="AE18" s="7">
        <v>2</v>
      </c>
      <c r="AF18" s="7">
        <v>2</v>
      </c>
      <c r="AG18" s="59">
        <v>3</v>
      </c>
      <c r="AH18" s="10">
        <v>4</v>
      </c>
      <c r="AI18" s="10">
        <v>3.8</v>
      </c>
      <c r="AJ18" s="56">
        <f t="shared" si="8"/>
        <v>1</v>
      </c>
      <c r="AK18" s="48">
        <f t="shared" si="9"/>
        <v>1.06</v>
      </c>
      <c r="AL18" s="10">
        <v>2.74</v>
      </c>
      <c r="AM18" s="7">
        <v>2</v>
      </c>
      <c r="AN18" s="7">
        <v>2</v>
      </c>
      <c r="AO18" s="59">
        <v>10</v>
      </c>
      <c r="AP18" s="10">
        <v>12</v>
      </c>
      <c r="AQ18" s="10">
        <v>12</v>
      </c>
      <c r="AR18" s="56">
        <f t="shared" si="10"/>
        <v>2</v>
      </c>
      <c r="AS18" s="48">
        <f t="shared" si="11"/>
        <v>-4</v>
      </c>
      <c r="AT18" s="10">
        <v>16</v>
      </c>
      <c r="AU18" s="7">
        <v>2</v>
      </c>
      <c r="AV18" s="7">
        <v>2</v>
      </c>
      <c r="AW18" s="39">
        <v>2</v>
      </c>
      <c r="AX18" s="39">
        <v>2</v>
      </c>
      <c r="AY18" s="7">
        <v>0.001155</v>
      </c>
    </row>
    <row r="19" spans="1:51">
      <c r="A19" s="46">
        <v>9.56</v>
      </c>
      <c r="B19" s="1">
        <v>9.6</v>
      </c>
      <c r="C19" s="1">
        <v>9.58</v>
      </c>
      <c r="D19" s="47">
        <f t="shared" si="0"/>
        <v>0.0399999999999991</v>
      </c>
      <c r="E19" s="48">
        <f t="shared" si="1"/>
        <v>0</v>
      </c>
      <c r="F19" s="10">
        <v>9.58</v>
      </c>
      <c r="G19" s="7">
        <v>2</v>
      </c>
      <c r="H19" s="7">
        <v>2</v>
      </c>
      <c r="I19" s="46">
        <v>20</v>
      </c>
      <c r="J19" s="1">
        <v>20</v>
      </c>
      <c r="K19" s="1">
        <v>20</v>
      </c>
      <c r="L19" s="47">
        <f t="shared" si="2"/>
        <v>0</v>
      </c>
      <c r="M19" s="48">
        <f t="shared" si="3"/>
        <v>0</v>
      </c>
      <c r="N19" s="10">
        <v>20</v>
      </c>
      <c r="O19" s="7">
        <v>2</v>
      </c>
      <c r="P19" s="7">
        <v>2</v>
      </c>
      <c r="Q19" s="58">
        <v>40</v>
      </c>
      <c r="R19" s="10">
        <v>70</v>
      </c>
      <c r="S19" s="10">
        <v>60</v>
      </c>
      <c r="T19" s="56">
        <f t="shared" si="4"/>
        <v>30</v>
      </c>
      <c r="U19" s="48">
        <f t="shared" si="5"/>
        <v>39.09</v>
      </c>
      <c r="V19" s="10">
        <v>20.91</v>
      </c>
      <c r="W19" s="7">
        <v>3</v>
      </c>
      <c r="X19" s="7">
        <v>3</v>
      </c>
      <c r="Y19" s="59">
        <v>7</v>
      </c>
      <c r="Z19" s="10">
        <v>15</v>
      </c>
      <c r="AA19" s="10">
        <v>11</v>
      </c>
      <c r="AB19" s="56">
        <f t="shared" si="6"/>
        <v>8</v>
      </c>
      <c r="AC19" s="48">
        <f t="shared" si="7"/>
        <v>5</v>
      </c>
      <c r="AD19" s="10">
        <v>6</v>
      </c>
      <c r="AE19" s="7">
        <v>3</v>
      </c>
      <c r="AF19" s="7">
        <v>3</v>
      </c>
      <c r="AG19" s="46">
        <v>2.5</v>
      </c>
      <c r="AH19" s="1">
        <v>4</v>
      </c>
      <c r="AI19" s="1">
        <v>3.8</v>
      </c>
      <c r="AJ19" s="47">
        <f t="shared" si="8"/>
        <v>1.5</v>
      </c>
      <c r="AK19" s="48">
        <f t="shared" si="9"/>
        <v>1.06</v>
      </c>
      <c r="AL19" s="10">
        <v>2.74</v>
      </c>
      <c r="AM19" s="7">
        <v>2</v>
      </c>
      <c r="AN19" s="7">
        <v>2</v>
      </c>
      <c r="AO19" s="59">
        <v>20</v>
      </c>
      <c r="AP19" s="10">
        <v>30</v>
      </c>
      <c r="AQ19" s="10">
        <v>25</v>
      </c>
      <c r="AR19" s="56">
        <f t="shared" si="10"/>
        <v>10</v>
      </c>
      <c r="AS19" s="48">
        <f t="shared" si="11"/>
        <v>9</v>
      </c>
      <c r="AT19" s="10">
        <v>16</v>
      </c>
      <c r="AU19" s="7">
        <v>3</v>
      </c>
      <c r="AV19" s="7">
        <v>3</v>
      </c>
      <c r="AW19" s="39">
        <v>3</v>
      </c>
      <c r="AX19" s="39">
        <v>3</v>
      </c>
      <c r="AY19" s="7">
        <v>0.00123</v>
      </c>
    </row>
    <row r="20" spans="1:51">
      <c r="A20" s="57">
        <v>9.65</v>
      </c>
      <c r="B20" s="9">
        <v>9.79</v>
      </c>
      <c r="C20" s="9">
        <v>9.69</v>
      </c>
      <c r="D20" s="56">
        <f t="shared" si="0"/>
        <v>0.139999999999999</v>
      </c>
      <c r="E20" s="48">
        <f t="shared" si="1"/>
        <v>0.109999999999999</v>
      </c>
      <c r="F20" s="10">
        <v>9.58</v>
      </c>
      <c r="G20" s="7">
        <v>2</v>
      </c>
      <c r="H20" s="7">
        <v>2</v>
      </c>
      <c r="I20" s="57">
        <v>7</v>
      </c>
      <c r="J20" s="9">
        <v>9</v>
      </c>
      <c r="K20" s="9">
        <v>8</v>
      </c>
      <c r="L20" s="56">
        <f t="shared" si="2"/>
        <v>2</v>
      </c>
      <c r="M20" s="48">
        <f t="shared" si="3"/>
        <v>-12</v>
      </c>
      <c r="N20" s="10">
        <v>20</v>
      </c>
      <c r="O20" s="7">
        <v>2</v>
      </c>
      <c r="P20" s="7">
        <v>2</v>
      </c>
      <c r="Q20" s="55">
        <v>21.11</v>
      </c>
      <c r="R20" s="9">
        <v>23.21</v>
      </c>
      <c r="S20" s="9">
        <v>22.19</v>
      </c>
      <c r="T20" s="56">
        <f t="shared" si="4"/>
        <v>2.1</v>
      </c>
      <c r="U20" s="48">
        <f t="shared" si="5"/>
        <v>1.28</v>
      </c>
      <c r="V20" s="10">
        <v>20.91</v>
      </c>
      <c r="W20" s="7">
        <v>2</v>
      </c>
      <c r="X20" s="7">
        <v>2</v>
      </c>
      <c r="Y20" s="46">
        <v>4</v>
      </c>
      <c r="Z20" s="1">
        <v>8</v>
      </c>
      <c r="AA20" s="1">
        <v>6</v>
      </c>
      <c r="AB20" s="47">
        <f t="shared" si="6"/>
        <v>4</v>
      </c>
      <c r="AC20" s="48">
        <f t="shared" si="7"/>
        <v>0</v>
      </c>
      <c r="AD20" s="10">
        <v>6</v>
      </c>
      <c r="AE20" s="7">
        <v>1</v>
      </c>
      <c r="AF20" s="7">
        <v>1</v>
      </c>
      <c r="AG20" s="57">
        <v>3.1</v>
      </c>
      <c r="AH20" s="9">
        <v>4</v>
      </c>
      <c r="AI20" s="9">
        <v>3.6</v>
      </c>
      <c r="AJ20" s="56">
        <f t="shared" si="8"/>
        <v>0.9</v>
      </c>
      <c r="AK20" s="48">
        <f t="shared" si="9"/>
        <v>0.86</v>
      </c>
      <c r="AL20" s="10">
        <v>2.74</v>
      </c>
      <c r="AM20" s="7">
        <v>2</v>
      </c>
      <c r="AN20" s="7">
        <v>2</v>
      </c>
      <c r="AO20" s="46">
        <v>10</v>
      </c>
      <c r="AP20" s="1">
        <v>18</v>
      </c>
      <c r="AQ20" s="1">
        <v>13</v>
      </c>
      <c r="AR20" s="47">
        <f t="shared" si="10"/>
        <v>8</v>
      </c>
      <c r="AS20" s="48">
        <f t="shared" si="11"/>
        <v>-3</v>
      </c>
      <c r="AT20" s="10">
        <v>16</v>
      </c>
      <c r="AU20" s="7">
        <v>1</v>
      </c>
      <c r="AV20" s="7">
        <v>1</v>
      </c>
      <c r="AW20" s="39">
        <v>2</v>
      </c>
      <c r="AX20" s="39">
        <v>2</v>
      </c>
      <c r="AY20" s="7">
        <v>0.004021</v>
      </c>
    </row>
    <row r="21" spans="1:51">
      <c r="A21" s="57">
        <v>9.63</v>
      </c>
      <c r="B21" s="9">
        <v>9.63</v>
      </c>
      <c r="C21" s="9">
        <v>9.63</v>
      </c>
      <c r="D21" s="56">
        <f t="shared" si="0"/>
        <v>0</v>
      </c>
      <c r="E21" s="48">
        <f t="shared" si="1"/>
        <v>0.0500000000000007</v>
      </c>
      <c r="F21" s="10">
        <v>9.58</v>
      </c>
      <c r="G21" s="7">
        <v>2</v>
      </c>
      <c r="H21" s="7">
        <v>2</v>
      </c>
      <c r="I21" s="46">
        <v>15</v>
      </c>
      <c r="J21" s="1">
        <v>25</v>
      </c>
      <c r="K21" s="1">
        <v>20</v>
      </c>
      <c r="L21" s="47">
        <f t="shared" si="2"/>
        <v>10</v>
      </c>
      <c r="M21" s="48">
        <f t="shared" si="3"/>
        <v>0</v>
      </c>
      <c r="N21" s="10">
        <v>20</v>
      </c>
      <c r="O21" s="7">
        <v>1</v>
      </c>
      <c r="P21" s="7">
        <v>1</v>
      </c>
      <c r="Q21" s="55">
        <v>9.63</v>
      </c>
      <c r="R21" s="9">
        <v>9.63</v>
      </c>
      <c r="S21" s="9">
        <v>9.63</v>
      </c>
      <c r="T21" s="56">
        <f t="shared" si="4"/>
        <v>0</v>
      </c>
      <c r="U21" s="48">
        <f t="shared" si="5"/>
        <v>-11.28</v>
      </c>
      <c r="V21" s="10">
        <v>20.91</v>
      </c>
      <c r="W21" s="7">
        <v>2</v>
      </c>
      <c r="X21" s="7">
        <v>2</v>
      </c>
      <c r="Y21" s="46">
        <v>3</v>
      </c>
      <c r="Z21" s="1">
        <v>6</v>
      </c>
      <c r="AA21" s="1">
        <v>4</v>
      </c>
      <c r="AB21" s="47">
        <f t="shared" si="6"/>
        <v>3</v>
      </c>
      <c r="AC21" s="48">
        <f t="shared" si="7"/>
        <v>-2</v>
      </c>
      <c r="AD21" s="10">
        <v>6</v>
      </c>
      <c r="AE21" s="7">
        <v>1</v>
      </c>
      <c r="AF21" s="7">
        <v>1</v>
      </c>
      <c r="AG21" s="57">
        <v>3.5</v>
      </c>
      <c r="AH21" s="9">
        <v>4.5</v>
      </c>
      <c r="AI21" s="9">
        <v>4.3</v>
      </c>
      <c r="AJ21" s="56">
        <f t="shared" si="8"/>
        <v>1</v>
      </c>
      <c r="AK21" s="48">
        <f t="shared" si="9"/>
        <v>1.56</v>
      </c>
      <c r="AL21" s="10">
        <v>2.74</v>
      </c>
      <c r="AM21" s="7">
        <v>2</v>
      </c>
      <c r="AN21" s="7">
        <v>2</v>
      </c>
      <c r="AO21" s="57">
        <v>12</v>
      </c>
      <c r="AP21" s="9">
        <v>12</v>
      </c>
      <c r="AQ21" s="9">
        <v>12</v>
      </c>
      <c r="AR21" s="56">
        <f t="shared" si="10"/>
        <v>0</v>
      </c>
      <c r="AS21" s="48">
        <f t="shared" si="11"/>
        <v>-4</v>
      </c>
      <c r="AT21" s="10">
        <v>16</v>
      </c>
      <c r="AU21" s="7">
        <v>2</v>
      </c>
      <c r="AV21" s="7">
        <v>2</v>
      </c>
      <c r="AW21" s="39">
        <v>2</v>
      </c>
      <c r="AX21" s="39">
        <v>2</v>
      </c>
      <c r="AY21" s="7">
        <v>0.009156</v>
      </c>
    </row>
    <row r="22" spans="1:51">
      <c r="A22" s="57">
        <v>9.61</v>
      </c>
      <c r="B22" s="9">
        <v>9.63</v>
      </c>
      <c r="C22" s="9">
        <v>9.61</v>
      </c>
      <c r="D22" s="56">
        <f t="shared" si="0"/>
        <v>0.0200000000000014</v>
      </c>
      <c r="E22" s="48">
        <f t="shared" si="1"/>
        <v>0.0299999999999994</v>
      </c>
      <c r="F22" s="10">
        <v>9.58</v>
      </c>
      <c r="G22" s="7">
        <v>2</v>
      </c>
      <c r="H22" s="7">
        <v>2</v>
      </c>
      <c r="I22" s="46">
        <v>15</v>
      </c>
      <c r="J22" s="1">
        <v>20</v>
      </c>
      <c r="K22" s="1">
        <v>17</v>
      </c>
      <c r="L22" s="47">
        <f t="shared" si="2"/>
        <v>5</v>
      </c>
      <c r="M22" s="48">
        <f t="shared" si="3"/>
        <v>-3</v>
      </c>
      <c r="N22" s="10">
        <v>20</v>
      </c>
      <c r="O22" s="7">
        <v>1</v>
      </c>
      <c r="P22" s="7">
        <v>1</v>
      </c>
      <c r="Q22" s="55">
        <v>6.78</v>
      </c>
      <c r="R22" s="9">
        <v>8.64</v>
      </c>
      <c r="S22" s="9">
        <v>7.12</v>
      </c>
      <c r="T22" s="56">
        <f t="shared" si="4"/>
        <v>1.86</v>
      </c>
      <c r="U22" s="48">
        <f t="shared" si="5"/>
        <v>-13.79</v>
      </c>
      <c r="V22" s="10">
        <v>20.91</v>
      </c>
      <c r="W22" s="7">
        <v>2</v>
      </c>
      <c r="X22" s="7">
        <v>2</v>
      </c>
      <c r="Y22" s="46">
        <v>5</v>
      </c>
      <c r="Z22" s="1">
        <v>10</v>
      </c>
      <c r="AA22" s="1">
        <v>7</v>
      </c>
      <c r="AB22" s="47">
        <f t="shared" si="6"/>
        <v>5</v>
      </c>
      <c r="AC22" s="48">
        <f t="shared" si="7"/>
        <v>1</v>
      </c>
      <c r="AD22" s="10">
        <v>6</v>
      </c>
      <c r="AE22" s="7">
        <v>1</v>
      </c>
      <c r="AF22" s="7">
        <v>1</v>
      </c>
      <c r="AG22" s="57">
        <v>2.4</v>
      </c>
      <c r="AH22" s="9">
        <v>2.7</v>
      </c>
      <c r="AI22" s="9">
        <v>2.6</v>
      </c>
      <c r="AJ22" s="56">
        <f t="shared" si="8"/>
        <v>0.3</v>
      </c>
      <c r="AK22" s="48">
        <f t="shared" si="9"/>
        <v>-0.14</v>
      </c>
      <c r="AL22" s="10">
        <v>2.74</v>
      </c>
      <c r="AM22" s="7">
        <v>2</v>
      </c>
      <c r="AN22" s="7">
        <v>2</v>
      </c>
      <c r="AO22" s="57">
        <v>10</v>
      </c>
      <c r="AP22" s="9">
        <v>15</v>
      </c>
      <c r="AQ22" s="9">
        <v>12</v>
      </c>
      <c r="AR22" s="56">
        <f t="shared" si="10"/>
        <v>5</v>
      </c>
      <c r="AS22" s="48">
        <f t="shared" si="11"/>
        <v>-4</v>
      </c>
      <c r="AT22" s="10">
        <v>16</v>
      </c>
      <c r="AU22" s="7">
        <v>2</v>
      </c>
      <c r="AV22" s="7">
        <v>2</v>
      </c>
      <c r="AW22" s="39">
        <v>2</v>
      </c>
      <c r="AX22" s="39">
        <v>2</v>
      </c>
      <c r="AY22" s="7">
        <v>0.004598</v>
      </c>
    </row>
    <row r="23" spans="1:51">
      <c r="A23" s="59">
        <v>9.79</v>
      </c>
      <c r="B23" s="10">
        <v>9.81</v>
      </c>
      <c r="C23" s="10">
        <v>9.8</v>
      </c>
      <c r="D23" s="56">
        <f t="shared" si="0"/>
        <v>0.0200000000000014</v>
      </c>
      <c r="E23" s="48">
        <f t="shared" si="1"/>
        <v>0.220000000000001</v>
      </c>
      <c r="F23" s="10">
        <v>9.58</v>
      </c>
      <c r="G23" s="7">
        <v>2</v>
      </c>
      <c r="H23" s="7">
        <v>2</v>
      </c>
      <c r="I23" s="46">
        <v>17</v>
      </c>
      <c r="J23" s="1">
        <v>25</v>
      </c>
      <c r="K23" s="1">
        <v>21</v>
      </c>
      <c r="L23" s="47">
        <f t="shared" si="2"/>
        <v>8</v>
      </c>
      <c r="M23" s="48">
        <f t="shared" si="3"/>
        <v>1</v>
      </c>
      <c r="N23" s="10">
        <v>20</v>
      </c>
      <c r="O23" s="7">
        <v>1</v>
      </c>
      <c r="P23" s="7">
        <v>1</v>
      </c>
      <c r="Q23" s="58">
        <v>15</v>
      </c>
      <c r="R23" s="10">
        <v>20</v>
      </c>
      <c r="S23" s="10">
        <v>17.5</v>
      </c>
      <c r="T23" s="56">
        <f t="shared" si="4"/>
        <v>5</v>
      </c>
      <c r="U23" s="48">
        <f t="shared" si="5"/>
        <v>-3.41</v>
      </c>
      <c r="V23" s="10">
        <v>20.91</v>
      </c>
      <c r="W23" s="7">
        <v>2</v>
      </c>
      <c r="X23" s="7">
        <v>2</v>
      </c>
      <c r="Y23" s="59">
        <v>7</v>
      </c>
      <c r="Z23" s="10">
        <v>10</v>
      </c>
      <c r="AA23" s="10">
        <v>8</v>
      </c>
      <c r="AB23" s="56">
        <f t="shared" si="6"/>
        <v>3</v>
      </c>
      <c r="AC23" s="48">
        <f t="shared" si="7"/>
        <v>2</v>
      </c>
      <c r="AD23" s="10">
        <v>6</v>
      </c>
      <c r="AE23" s="7">
        <v>2</v>
      </c>
      <c r="AF23" s="7">
        <v>2</v>
      </c>
      <c r="AG23" s="59">
        <v>2</v>
      </c>
      <c r="AH23" s="10">
        <v>2.5</v>
      </c>
      <c r="AI23" s="10">
        <v>2.3</v>
      </c>
      <c r="AJ23" s="56">
        <f t="shared" si="8"/>
        <v>0.5</v>
      </c>
      <c r="AK23" s="48">
        <f t="shared" si="9"/>
        <v>-0.44</v>
      </c>
      <c r="AL23" s="10">
        <v>2.74</v>
      </c>
      <c r="AM23" s="7">
        <v>2</v>
      </c>
      <c r="AN23" s="7">
        <v>2</v>
      </c>
      <c r="AO23" s="46">
        <v>12</v>
      </c>
      <c r="AP23" s="1">
        <v>20</v>
      </c>
      <c r="AQ23" s="1">
        <v>17</v>
      </c>
      <c r="AR23" s="47">
        <f t="shared" si="10"/>
        <v>8</v>
      </c>
      <c r="AS23" s="48">
        <f t="shared" si="11"/>
        <v>1</v>
      </c>
      <c r="AT23" s="10">
        <v>16</v>
      </c>
      <c r="AU23" s="7">
        <v>1</v>
      </c>
      <c r="AV23" s="7">
        <v>1</v>
      </c>
      <c r="AW23" s="39">
        <v>2</v>
      </c>
      <c r="AX23" s="39">
        <v>2</v>
      </c>
      <c r="AY23" s="7">
        <v>0.001855</v>
      </c>
    </row>
    <row r="24" spans="1:51">
      <c r="A24" s="59">
        <v>9.7</v>
      </c>
      <c r="B24" s="10">
        <v>9.83</v>
      </c>
      <c r="C24" s="10">
        <v>9.72</v>
      </c>
      <c r="D24" s="56">
        <f t="shared" si="0"/>
        <v>0.130000000000001</v>
      </c>
      <c r="E24" s="48">
        <f t="shared" si="1"/>
        <v>0.140000000000001</v>
      </c>
      <c r="F24" s="10">
        <v>9.58</v>
      </c>
      <c r="G24" s="7">
        <v>2</v>
      </c>
      <c r="H24" s="7">
        <v>2</v>
      </c>
      <c r="I24" s="59">
        <v>7</v>
      </c>
      <c r="J24" s="10">
        <v>15</v>
      </c>
      <c r="K24" s="10">
        <v>8</v>
      </c>
      <c r="L24" s="56">
        <f t="shared" si="2"/>
        <v>8</v>
      </c>
      <c r="M24" s="48">
        <f t="shared" si="3"/>
        <v>-12</v>
      </c>
      <c r="N24" s="10">
        <v>20</v>
      </c>
      <c r="O24" s="7">
        <v>2</v>
      </c>
      <c r="P24" s="7">
        <v>2</v>
      </c>
      <c r="Q24" s="58">
        <v>12</v>
      </c>
      <c r="R24" s="10">
        <v>15</v>
      </c>
      <c r="S24" s="10">
        <v>13</v>
      </c>
      <c r="T24" s="56">
        <f t="shared" si="4"/>
        <v>3</v>
      </c>
      <c r="U24" s="48">
        <f t="shared" si="5"/>
        <v>-7.91</v>
      </c>
      <c r="V24" s="10">
        <v>20.91</v>
      </c>
      <c r="W24" s="7">
        <v>2</v>
      </c>
      <c r="X24" s="7">
        <v>2</v>
      </c>
      <c r="Y24" s="46">
        <v>2</v>
      </c>
      <c r="Z24" s="1">
        <v>7</v>
      </c>
      <c r="AA24" s="1">
        <v>4</v>
      </c>
      <c r="AB24" s="47">
        <f t="shared" si="6"/>
        <v>5</v>
      </c>
      <c r="AC24" s="48">
        <f t="shared" si="7"/>
        <v>-2</v>
      </c>
      <c r="AD24" s="10">
        <v>6</v>
      </c>
      <c r="AE24" s="7">
        <v>1</v>
      </c>
      <c r="AF24" s="7">
        <v>1</v>
      </c>
      <c r="AG24" s="46">
        <v>2.5</v>
      </c>
      <c r="AH24" s="1">
        <v>4</v>
      </c>
      <c r="AI24" s="1">
        <v>3.2</v>
      </c>
      <c r="AJ24" s="47">
        <f t="shared" si="8"/>
        <v>1.5</v>
      </c>
      <c r="AK24" s="48">
        <f t="shared" si="9"/>
        <v>0.46</v>
      </c>
      <c r="AL24" s="10">
        <v>2.74</v>
      </c>
      <c r="AM24" s="7">
        <v>1</v>
      </c>
      <c r="AN24" s="7">
        <v>1</v>
      </c>
      <c r="AO24" s="59">
        <v>10</v>
      </c>
      <c r="AP24" s="10">
        <v>15</v>
      </c>
      <c r="AQ24" s="10">
        <v>12</v>
      </c>
      <c r="AR24" s="56">
        <f t="shared" si="10"/>
        <v>5</v>
      </c>
      <c r="AS24" s="48">
        <f t="shared" si="11"/>
        <v>-4</v>
      </c>
      <c r="AT24" s="10">
        <v>16</v>
      </c>
      <c r="AU24" s="7">
        <v>2</v>
      </c>
      <c r="AV24" s="7">
        <v>2</v>
      </c>
      <c r="AW24" s="39">
        <v>2</v>
      </c>
      <c r="AX24" s="39">
        <v>2</v>
      </c>
      <c r="AY24" s="7">
        <v>0.003732</v>
      </c>
    </row>
    <row r="25" spans="1:51">
      <c r="A25" s="59">
        <v>9.69</v>
      </c>
      <c r="B25" s="10">
        <v>9.96</v>
      </c>
      <c r="C25" s="10">
        <v>9.72</v>
      </c>
      <c r="D25" s="56">
        <f t="shared" si="0"/>
        <v>0.270000000000001</v>
      </c>
      <c r="E25" s="48">
        <f t="shared" si="1"/>
        <v>0.140000000000001</v>
      </c>
      <c r="F25" s="10">
        <v>9.58</v>
      </c>
      <c r="G25" s="7">
        <v>2</v>
      </c>
      <c r="H25" s="7">
        <v>2</v>
      </c>
      <c r="I25" s="46">
        <v>10</v>
      </c>
      <c r="J25" s="1">
        <v>20</v>
      </c>
      <c r="K25" s="1">
        <v>18</v>
      </c>
      <c r="L25" s="47">
        <f t="shared" si="2"/>
        <v>10</v>
      </c>
      <c r="M25" s="48">
        <f t="shared" si="3"/>
        <v>-2</v>
      </c>
      <c r="N25" s="10">
        <v>20</v>
      </c>
      <c r="O25" s="7">
        <v>1</v>
      </c>
      <c r="P25" s="7">
        <v>1</v>
      </c>
      <c r="Q25" s="58">
        <v>25</v>
      </c>
      <c r="R25" s="10">
        <v>35</v>
      </c>
      <c r="S25" s="10">
        <v>30</v>
      </c>
      <c r="T25" s="56">
        <f t="shared" si="4"/>
        <v>10</v>
      </c>
      <c r="U25" s="48">
        <f t="shared" si="5"/>
        <v>9.09</v>
      </c>
      <c r="V25" s="10">
        <v>20.91</v>
      </c>
      <c r="W25" s="7">
        <v>2</v>
      </c>
      <c r="X25" s="7">
        <v>2</v>
      </c>
      <c r="Y25" s="46">
        <v>3</v>
      </c>
      <c r="Z25" s="1">
        <v>6</v>
      </c>
      <c r="AA25" s="1">
        <v>4</v>
      </c>
      <c r="AB25" s="47">
        <f t="shared" si="6"/>
        <v>3</v>
      </c>
      <c r="AC25" s="48">
        <f t="shared" si="7"/>
        <v>-2</v>
      </c>
      <c r="AD25" s="10">
        <v>6</v>
      </c>
      <c r="AE25" s="7">
        <v>1</v>
      </c>
      <c r="AF25" s="7">
        <v>1</v>
      </c>
      <c r="AG25" s="59">
        <v>2</v>
      </c>
      <c r="AH25" s="10">
        <v>2.5</v>
      </c>
      <c r="AI25" s="10">
        <v>2.3</v>
      </c>
      <c r="AJ25" s="56">
        <f t="shared" si="8"/>
        <v>0.5</v>
      </c>
      <c r="AK25" s="48">
        <f t="shared" si="9"/>
        <v>-0.44</v>
      </c>
      <c r="AL25" s="10">
        <v>2.74</v>
      </c>
      <c r="AM25" s="7">
        <v>2</v>
      </c>
      <c r="AN25" s="7">
        <v>2</v>
      </c>
      <c r="AO25" s="59">
        <v>8</v>
      </c>
      <c r="AP25" s="10">
        <v>12</v>
      </c>
      <c r="AQ25" s="10">
        <v>10</v>
      </c>
      <c r="AR25" s="56">
        <f t="shared" si="10"/>
        <v>4</v>
      </c>
      <c r="AS25" s="48">
        <f t="shared" si="11"/>
        <v>-6</v>
      </c>
      <c r="AT25" s="10">
        <v>16</v>
      </c>
      <c r="AU25" s="7">
        <v>2</v>
      </c>
      <c r="AV25" s="7">
        <v>2</v>
      </c>
      <c r="AW25" s="39">
        <v>2</v>
      </c>
      <c r="AX25" s="39">
        <v>2</v>
      </c>
      <c r="AY25" s="7">
        <v>0.001623</v>
      </c>
    </row>
    <row r="26" spans="1:51">
      <c r="A26" s="46">
        <v>8.05</v>
      </c>
      <c r="B26" s="1">
        <v>9.88</v>
      </c>
      <c r="C26" s="1">
        <v>9.5</v>
      </c>
      <c r="D26" s="47">
        <f t="shared" si="0"/>
        <v>1.83</v>
      </c>
      <c r="E26" s="48">
        <f t="shared" si="1"/>
        <v>-0.0800000000000001</v>
      </c>
      <c r="F26" s="10">
        <v>9.58</v>
      </c>
      <c r="G26" s="7">
        <v>1</v>
      </c>
      <c r="H26" s="7">
        <v>1</v>
      </c>
      <c r="I26" s="59">
        <v>5</v>
      </c>
      <c r="J26" s="10">
        <v>10</v>
      </c>
      <c r="K26" s="10">
        <v>8</v>
      </c>
      <c r="L26" s="56">
        <f t="shared" si="2"/>
        <v>5</v>
      </c>
      <c r="M26" s="48">
        <f t="shared" si="3"/>
        <v>-12</v>
      </c>
      <c r="N26" s="10">
        <v>20</v>
      </c>
      <c r="O26" s="7">
        <v>2</v>
      </c>
      <c r="P26" s="7">
        <v>2</v>
      </c>
      <c r="Q26" s="58">
        <v>7.01</v>
      </c>
      <c r="R26" s="10">
        <v>9.01</v>
      </c>
      <c r="S26" s="10">
        <v>8.01</v>
      </c>
      <c r="T26" s="56">
        <f t="shared" si="4"/>
        <v>2</v>
      </c>
      <c r="U26" s="48">
        <f t="shared" si="5"/>
        <v>-12.9</v>
      </c>
      <c r="V26" s="10">
        <v>20.91</v>
      </c>
      <c r="W26" s="7">
        <v>2</v>
      </c>
      <c r="X26" s="7">
        <v>2</v>
      </c>
      <c r="Y26" s="59">
        <v>10</v>
      </c>
      <c r="Z26" s="10">
        <v>30</v>
      </c>
      <c r="AA26" s="10">
        <v>25</v>
      </c>
      <c r="AB26" s="56">
        <f t="shared" si="6"/>
        <v>20</v>
      </c>
      <c r="AC26" s="48">
        <f t="shared" si="7"/>
        <v>19</v>
      </c>
      <c r="AD26" s="10">
        <v>6</v>
      </c>
      <c r="AE26" s="7">
        <v>2</v>
      </c>
      <c r="AF26" s="7">
        <v>2</v>
      </c>
      <c r="AG26" s="46">
        <v>2.5</v>
      </c>
      <c r="AH26" s="1">
        <v>3.5</v>
      </c>
      <c r="AI26" s="1">
        <v>3</v>
      </c>
      <c r="AJ26" s="47">
        <f t="shared" si="8"/>
        <v>1</v>
      </c>
      <c r="AK26" s="48">
        <f t="shared" si="9"/>
        <v>0.26</v>
      </c>
      <c r="AL26" s="10">
        <v>2.74</v>
      </c>
      <c r="AM26" s="7">
        <v>1</v>
      </c>
      <c r="AN26" s="7">
        <v>1</v>
      </c>
      <c r="AO26" s="59">
        <v>20</v>
      </c>
      <c r="AP26" s="10">
        <v>30</v>
      </c>
      <c r="AQ26" s="10">
        <v>25</v>
      </c>
      <c r="AR26" s="56">
        <f t="shared" si="10"/>
        <v>10</v>
      </c>
      <c r="AS26" s="48">
        <f t="shared" si="11"/>
        <v>9</v>
      </c>
      <c r="AT26" s="10">
        <v>16</v>
      </c>
      <c r="AU26" s="7">
        <v>2</v>
      </c>
      <c r="AV26" s="7">
        <v>2</v>
      </c>
      <c r="AW26" s="39">
        <v>2</v>
      </c>
      <c r="AX26" s="39">
        <v>2</v>
      </c>
      <c r="AY26" s="7">
        <v>0.004561</v>
      </c>
    </row>
    <row r="27" ht="16.5" customHeight="1" spans="1:51">
      <c r="A27" s="46">
        <v>9.3</v>
      </c>
      <c r="B27" s="1">
        <v>9.78</v>
      </c>
      <c r="C27" s="1">
        <v>9.43</v>
      </c>
      <c r="D27" s="47">
        <f t="shared" si="0"/>
        <v>0.479999999999999</v>
      </c>
      <c r="E27" s="48">
        <f t="shared" si="1"/>
        <v>-0.15</v>
      </c>
      <c r="F27" s="10">
        <v>9.58</v>
      </c>
      <c r="G27" s="7">
        <v>1</v>
      </c>
      <c r="H27" s="7">
        <v>1</v>
      </c>
      <c r="I27" s="46">
        <v>12</v>
      </c>
      <c r="J27" s="1">
        <v>20</v>
      </c>
      <c r="K27" s="1">
        <v>16</v>
      </c>
      <c r="L27" s="47">
        <f t="shared" si="2"/>
        <v>8</v>
      </c>
      <c r="M27" s="48">
        <f t="shared" si="3"/>
        <v>-4</v>
      </c>
      <c r="N27" s="10">
        <v>20</v>
      </c>
      <c r="O27" s="7">
        <v>1</v>
      </c>
      <c r="P27" s="7">
        <v>1</v>
      </c>
      <c r="Q27" s="55">
        <v>4.5</v>
      </c>
      <c r="R27" s="9">
        <v>5.7</v>
      </c>
      <c r="S27" s="9">
        <v>5</v>
      </c>
      <c r="T27" s="56">
        <f t="shared" si="4"/>
        <v>1.2</v>
      </c>
      <c r="U27" s="48">
        <f t="shared" si="5"/>
        <v>-15.91</v>
      </c>
      <c r="V27" s="10">
        <v>20.91</v>
      </c>
      <c r="W27" s="7">
        <v>2</v>
      </c>
      <c r="X27" s="7">
        <v>2</v>
      </c>
      <c r="Y27" s="57">
        <v>2</v>
      </c>
      <c r="Z27" s="9">
        <v>5</v>
      </c>
      <c r="AA27" s="9">
        <v>4</v>
      </c>
      <c r="AB27" s="56">
        <f t="shared" si="6"/>
        <v>3</v>
      </c>
      <c r="AC27" s="48">
        <f t="shared" si="7"/>
        <v>-2</v>
      </c>
      <c r="AD27" s="10">
        <v>6</v>
      </c>
      <c r="AE27" s="7">
        <v>2</v>
      </c>
      <c r="AF27" s="7">
        <v>2</v>
      </c>
      <c r="AG27" s="57">
        <v>3</v>
      </c>
      <c r="AH27" s="9">
        <v>3.5</v>
      </c>
      <c r="AI27" s="9">
        <v>3.2</v>
      </c>
      <c r="AJ27" s="56">
        <f t="shared" si="8"/>
        <v>0.5</v>
      </c>
      <c r="AK27" s="48">
        <f t="shared" si="9"/>
        <v>0.46</v>
      </c>
      <c r="AL27" s="10">
        <v>2.74</v>
      </c>
      <c r="AM27" s="7">
        <v>2</v>
      </c>
      <c r="AN27" s="7">
        <v>2</v>
      </c>
      <c r="AO27" s="57">
        <v>8</v>
      </c>
      <c r="AP27" s="9">
        <v>12</v>
      </c>
      <c r="AQ27" s="9">
        <v>10</v>
      </c>
      <c r="AR27" s="56">
        <f t="shared" si="10"/>
        <v>4</v>
      </c>
      <c r="AS27" s="48">
        <f t="shared" si="11"/>
        <v>-6</v>
      </c>
      <c r="AT27" s="10">
        <v>16</v>
      </c>
      <c r="AU27" s="7">
        <v>2</v>
      </c>
      <c r="AV27" s="7">
        <v>2</v>
      </c>
      <c r="AW27" s="39">
        <v>2</v>
      </c>
      <c r="AX27" s="39">
        <v>2</v>
      </c>
      <c r="AY27" s="7">
        <v>0.001074</v>
      </c>
    </row>
    <row r="28" spans="1:51">
      <c r="A28" s="59">
        <v>8.86</v>
      </c>
      <c r="B28" s="10">
        <v>9.13</v>
      </c>
      <c r="C28" s="10">
        <v>8.97</v>
      </c>
      <c r="D28" s="56">
        <f t="shared" si="0"/>
        <v>0.270000000000001</v>
      </c>
      <c r="E28" s="48">
        <f t="shared" si="1"/>
        <v>-0.609999999999999</v>
      </c>
      <c r="F28" s="10">
        <v>9.58</v>
      </c>
      <c r="G28" s="7">
        <v>1</v>
      </c>
      <c r="H28" s="7">
        <v>1</v>
      </c>
      <c r="I28" s="46">
        <v>20</v>
      </c>
      <c r="J28" s="1">
        <v>25</v>
      </c>
      <c r="K28" s="1">
        <v>22</v>
      </c>
      <c r="L28" s="47">
        <f t="shared" si="2"/>
        <v>5</v>
      </c>
      <c r="M28" s="48">
        <f t="shared" si="3"/>
        <v>2</v>
      </c>
      <c r="N28" s="10">
        <v>20</v>
      </c>
      <c r="O28" s="7">
        <v>0</v>
      </c>
      <c r="P28" s="7">
        <v>0</v>
      </c>
      <c r="Q28" s="58">
        <v>12.09</v>
      </c>
      <c r="R28" s="10">
        <v>15.08</v>
      </c>
      <c r="S28" s="10">
        <v>13.07</v>
      </c>
      <c r="T28" s="56">
        <f t="shared" si="4"/>
        <v>2.99</v>
      </c>
      <c r="U28" s="48">
        <f t="shared" si="5"/>
        <v>-7.84</v>
      </c>
      <c r="V28" s="10">
        <v>20.91</v>
      </c>
      <c r="W28" s="7">
        <v>1</v>
      </c>
      <c r="X28" s="7">
        <v>1</v>
      </c>
      <c r="Y28" s="59">
        <v>10</v>
      </c>
      <c r="Z28" s="10">
        <v>15</v>
      </c>
      <c r="AA28" s="10">
        <v>13</v>
      </c>
      <c r="AB28" s="56">
        <f t="shared" si="6"/>
        <v>5</v>
      </c>
      <c r="AC28" s="48">
        <f t="shared" si="7"/>
        <v>7</v>
      </c>
      <c r="AD28" s="10">
        <v>6</v>
      </c>
      <c r="AE28" s="7">
        <v>1</v>
      </c>
      <c r="AF28" s="7">
        <v>1</v>
      </c>
      <c r="AG28" s="59">
        <v>1.5</v>
      </c>
      <c r="AH28" s="10">
        <v>2</v>
      </c>
      <c r="AI28" s="10">
        <v>1.7</v>
      </c>
      <c r="AJ28" s="56">
        <f t="shared" si="8"/>
        <v>0.5</v>
      </c>
      <c r="AK28" s="48">
        <f t="shared" si="9"/>
        <v>-1.04</v>
      </c>
      <c r="AL28" s="10">
        <v>2.74</v>
      </c>
      <c r="AM28" s="7">
        <v>1</v>
      </c>
      <c r="AN28" s="7">
        <v>1</v>
      </c>
      <c r="AO28" s="59">
        <v>10</v>
      </c>
      <c r="AP28" s="10">
        <v>15</v>
      </c>
      <c r="AQ28" s="10">
        <v>12</v>
      </c>
      <c r="AR28" s="56">
        <f t="shared" si="10"/>
        <v>5</v>
      </c>
      <c r="AS28" s="48">
        <f t="shared" si="11"/>
        <v>-4</v>
      </c>
      <c r="AT28" s="10">
        <v>16</v>
      </c>
      <c r="AU28" s="7">
        <v>1</v>
      </c>
      <c r="AV28" s="7">
        <v>1</v>
      </c>
      <c r="AW28" s="39">
        <v>1</v>
      </c>
      <c r="AX28" s="39">
        <v>1</v>
      </c>
      <c r="AY28" s="7">
        <v>1.788e-6</v>
      </c>
    </row>
    <row r="29" spans="1:51">
      <c r="A29" s="59">
        <v>10.28</v>
      </c>
      <c r="B29" s="10">
        <v>11.23</v>
      </c>
      <c r="C29" s="10">
        <v>10.83</v>
      </c>
      <c r="D29" s="56">
        <f t="shared" si="0"/>
        <v>0.950000000000001</v>
      </c>
      <c r="E29" s="48">
        <f t="shared" si="1"/>
        <v>1.25</v>
      </c>
      <c r="F29" s="10">
        <v>9.58</v>
      </c>
      <c r="G29" s="7">
        <v>1</v>
      </c>
      <c r="H29" s="7">
        <v>1</v>
      </c>
      <c r="I29" s="59">
        <v>8</v>
      </c>
      <c r="J29" s="10">
        <v>15</v>
      </c>
      <c r="K29" s="10">
        <v>12</v>
      </c>
      <c r="L29" s="56">
        <f t="shared" si="2"/>
        <v>7</v>
      </c>
      <c r="M29" s="48">
        <f t="shared" si="3"/>
        <v>-8</v>
      </c>
      <c r="N29" s="10">
        <v>20</v>
      </c>
      <c r="O29" s="7">
        <v>1</v>
      </c>
      <c r="P29" s="7">
        <v>1</v>
      </c>
      <c r="Q29" s="58">
        <v>13.28</v>
      </c>
      <c r="R29" s="10">
        <v>15.36</v>
      </c>
      <c r="S29" s="10">
        <v>13.28</v>
      </c>
      <c r="T29" s="56">
        <f t="shared" si="4"/>
        <v>2.08</v>
      </c>
      <c r="U29" s="48">
        <f t="shared" si="5"/>
        <v>-7.63</v>
      </c>
      <c r="V29" s="10">
        <v>20.91</v>
      </c>
      <c r="W29" s="7">
        <v>1</v>
      </c>
      <c r="X29" s="7">
        <v>1</v>
      </c>
      <c r="Y29" s="59">
        <v>13</v>
      </c>
      <c r="Z29" s="10">
        <v>18</v>
      </c>
      <c r="AA29" s="10">
        <v>13</v>
      </c>
      <c r="AB29" s="56">
        <f t="shared" si="6"/>
        <v>5</v>
      </c>
      <c r="AC29" s="48">
        <f t="shared" si="7"/>
        <v>7</v>
      </c>
      <c r="AD29" s="10">
        <v>6</v>
      </c>
      <c r="AE29" s="7">
        <v>1</v>
      </c>
      <c r="AF29" s="7">
        <v>1</v>
      </c>
      <c r="AG29" s="59">
        <v>2.4</v>
      </c>
      <c r="AH29" s="10">
        <v>2.6</v>
      </c>
      <c r="AI29" s="10">
        <v>2.4</v>
      </c>
      <c r="AJ29" s="56">
        <f t="shared" si="8"/>
        <v>0.2</v>
      </c>
      <c r="AK29" s="48">
        <f t="shared" si="9"/>
        <v>-0.34</v>
      </c>
      <c r="AL29" s="10">
        <v>2.74</v>
      </c>
      <c r="AM29" s="7">
        <v>1</v>
      </c>
      <c r="AN29" s="7">
        <v>1</v>
      </c>
      <c r="AO29" s="46">
        <v>16</v>
      </c>
      <c r="AP29" s="1">
        <v>18</v>
      </c>
      <c r="AQ29" s="1">
        <v>16</v>
      </c>
      <c r="AR29" s="47">
        <f t="shared" si="10"/>
        <v>2</v>
      </c>
      <c r="AS29" s="48">
        <f t="shared" si="11"/>
        <v>0</v>
      </c>
      <c r="AT29" s="10">
        <v>16</v>
      </c>
      <c r="AU29" s="7">
        <v>0</v>
      </c>
      <c r="AV29" s="7">
        <v>0</v>
      </c>
      <c r="AW29" s="39">
        <v>1</v>
      </c>
      <c r="AX29" s="39">
        <v>1</v>
      </c>
      <c r="AY29" s="7">
        <v>0.000144</v>
      </c>
    </row>
    <row r="30" spans="1:51">
      <c r="A30" s="57">
        <v>5.8</v>
      </c>
      <c r="B30" s="9">
        <v>7.2</v>
      </c>
      <c r="C30" s="9">
        <v>6.12</v>
      </c>
      <c r="D30" s="56">
        <f t="shared" si="0"/>
        <v>1.4</v>
      </c>
      <c r="E30" s="48">
        <f t="shared" si="1"/>
        <v>-3.46</v>
      </c>
      <c r="F30" s="10">
        <v>9.58</v>
      </c>
      <c r="G30" s="7">
        <v>0</v>
      </c>
      <c r="H30" s="7">
        <v>0</v>
      </c>
      <c r="I30" s="57">
        <v>9</v>
      </c>
      <c r="J30" s="9">
        <v>18</v>
      </c>
      <c r="K30" s="9">
        <v>12</v>
      </c>
      <c r="L30" s="56">
        <f t="shared" si="2"/>
        <v>9</v>
      </c>
      <c r="M30" s="48">
        <f t="shared" si="3"/>
        <v>-8</v>
      </c>
      <c r="N30" s="10">
        <v>20</v>
      </c>
      <c r="O30" s="7">
        <v>0</v>
      </c>
      <c r="P30" s="7">
        <v>0</v>
      </c>
      <c r="Q30" s="55">
        <v>5.12</v>
      </c>
      <c r="R30" s="9">
        <v>8.25</v>
      </c>
      <c r="S30" s="9">
        <v>7.21</v>
      </c>
      <c r="T30" s="56">
        <f t="shared" si="4"/>
        <v>3.13</v>
      </c>
      <c r="U30" s="48">
        <f t="shared" si="5"/>
        <v>-13.7</v>
      </c>
      <c r="V30" s="10">
        <v>20.91</v>
      </c>
      <c r="W30" s="7">
        <v>0</v>
      </c>
      <c r="X30" s="7">
        <v>0</v>
      </c>
      <c r="Y30" s="57">
        <v>10</v>
      </c>
      <c r="Z30" s="9">
        <v>25</v>
      </c>
      <c r="AA30" s="9">
        <v>19</v>
      </c>
      <c r="AB30" s="56">
        <f t="shared" si="6"/>
        <v>15</v>
      </c>
      <c r="AC30" s="48">
        <f t="shared" si="7"/>
        <v>13</v>
      </c>
      <c r="AD30" s="10">
        <v>6</v>
      </c>
      <c r="AE30" s="7">
        <v>0</v>
      </c>
      <c r="AF30" s="7">
        <v>0</v>
      </c>
      <c r="AG30" s="57">
        <v>10</v>
      </c>
      <c r="AH30" s="9">
        <v>15</v>
      </c>
      <c r="AI30" s="9">
        <v>14</v>
      </c>
      <c r="AJ30" s="56">
        <f t="shared" si="8"/>
        <v>5</v>
      </c>
      <c r="AK30" s="48">
        <f t="shared" si="9"/>
        <v>11.26</v>
      </c>
      <c r="AL30" s="10">
        <v>2.74</v>
      </c>
      <c r="AM30" s="7">
        <v>0</v>
      </c>
      <c r="AN30" s="7">
        <v>0</v>
      </c>
      <c r="AO30" s="57">
        <v>6</v>
      </c>
      <c r="AP30" s="9">
        <v>9</v>
      </c>
      <c r="AQ30" s="9">
        <v>8</v>
      </c>
      <c r="AR30" s="56">
        <f t="shared" si="10"/>
        <v>3</v>
      </c>
      <c r="AS30" s="48">
        <f t="shared" si="11"/>
        <v>-8</v>
      </c>
      <c r="AT30" s="10">
        <v>16</v>
      </c>
      <c r="AU30" s="7">
        <v>0</v>
      </c>
      <c r="AV30" s="7">
        <v>0</v>
      </c>
      <c r="AW30" s="39">
        <v>0</v>
      </c>
      <c r="AX30" s="39">
        <v>0</v>
      </c>
      <c r="AY30" s="7">
        <v>1.256e-6</v>
      </c>
    </row>
    <row r="31" spans="1:51">
      <c r="A31" s="59">
        <v>9.68</v>
      </c>
      <c r="B31" s="10">
        <v>9.99</v>
      </c>
      <c r="C31" s="10">
        <v>9.96</v>
      </c>
      <c r="D31" s="56">
        <f t="shared" si="0"/>
        <v>0.31</v>
      </c>
      <c r="E31" s="48">
        <f t="shared" si="1"/>
        <v>0.380000000000001</v>
      </c>
      <c r="F31" s="10">
        <v>9.58</v>
      </c>
      <c r="G31" s="7">
        <v>0</v>
      </c>
      <c r="H31" s="7">
        <v>0</v>
      </c>
      <c r="I31" s="59">
        <v>32</v>
      </c>
      <c r="J31" s="10">
        <v>36</v>
      </c>
      <c r="K31" s="10">
        <v>33</v>
      </c>
      <c r="L31" s="56">
        <f t="shared" si="2"/>
        <v>4</v>
      </c>
      <c r="M31" s="48">
        <f t="shared" si="3"/>
        <v>13</v>
      </c>
      <c r="N31" s="10">
        <v>20</v>
      </c>
      <c r="O31" s="7">
        <v>0</v>
      </c>
      <c r="P31" s="7">
        <v>0</v>
      </c>
      <c r="Q31" s="58">
        <v>3.62</v>
      </c>
      <c r="R31" s="10">
        <v>4.62</v>
      </c>
      <c r="S31" s="10">
        <v>3.98</v>
      </c>
      <c r="T31" s="56">
        <f t="shared" si="4"/>
        <v>1</v>
      </c>
      <c r="U31" s="48">
        <f t="shared" si="5"/>
        <v>-16.93</v>
      </c>
      <c r="V31" s="10">
        <v>20.91</v>
      </c>
      <c r="W31" s="7">
        <v>0</v>
      </c>
      <c r="X31" s="7">
        <v>0</v>
      </c>
      <c r="Y31" s="59">
        <v>76</v>
      </c>
      <c r="Z31" s="10">
        <v>102</v>
      </c>
      <c r="AA31" s="10">
        <v>97</v>
      </c>
      <c r="AB31" s="56">
        <f t="shared" si="6"/>
        <v>26</v>
      </c>
      <c r="AC31" s="48">
        <f t="shared" si="7"/>
        <v>91</v>
      </c>
      <c r="AD31" s="10">
        <v>6</v>
      </c>
      <c r="AE31" s="7">
        <v>0</v>
      </c>
      <c r="AF31" s="7">
        <v>0</v>
      </c>
      <c r="AG31" s="59">
        <v>2.1</v>
      </c>
      <c r="AH31" s="10">
        <v>2.6</v>
      </c>
      <c r="AI31" s="10">
        <v>2.4</v>
      </c>
      <c r="AJ31" s="56">
        <f t="shared" si="8"/>
        <v>0.5</v>
      </c>
      <c r="AK31" s="48">
        <f t="shared" si="9"/>
        <v>-0.34</v>
      </c>
      <c r="AL31" s="10">
        <v>2.74</v>
      </c>
      <c r="AM31" s="7">
        <v>0</v>
      </c>
      <c r="AN31" s="7">
        <v>0</v>
      </c>
      <c r="AO31" s="59">
        <v>6</v>
      </c>
      <c r="AP31" s="10">
        <v>10</v>
      </c>
      <c r="AQ31" s="10">
        <v>8</v>
      </c>
      <c r="AR31" s="56">
        <f t="shared" si="10"/>
        <v>4</v>
      </c>
      <c r="AS31" s="48">
        <f t="shared" si="11"/>
        <v>-8</v>
      </c>
      <c r="AT31" s="10">
        <v>16</v>
      </c>
      <c r="AU31" s="7">
        <v>0</v>
      </c>
      <c r="AV31" s="7">
        <v>0</v>
      </c>
      <c r="AW31" s="39">
        <v>0</v>
      </c>
      <c r="AX31" s="39">
        <v>0</v>
      </c>
      <c r="AY31" s="7">
        <v>2.588e-6</v>
      </c>
    </row>
    <row r="32" spans="1:51">
      <c r="A32" s="59" t="s">
        <v>36</v>
      </c>
      <c r="B32" s="10" t="s">
        <v>37</v>
      </c>
      <c r="C32" s="10" t="s">
        <v>38</v>
      </c>
      <c r="D32" s="61" t="s">
        <v>52</v>
      </c>
      <c r="E32" s="10" t="s">
        <v>40</v>
      </c>
      <c r="F32" s="10" t="s">
        <v>41</v>
      </c>
      <c r="G32" s="62" t="s">
        <v>53</v>
      </c>
      <c r="H32" s="62" t="s">
        <v>54</v>
      </c>
      <c r="I32" s="59" t="s">
        <v>36</v>
      </c>
      <c r="J32" s="10" t="s">
        <v>37</v>
      </c>
      <c r="K32" s="10" t="s">
        <v>38</v>
      </c>
      <c r="L32" s="61" t="s">
        <v>52</v>
      </c>
      <c r="M32" s="10" t="s">
        <v>40</v>
      </c>
      <c r="N32" s="10" t="s">
        <v>41</v>
      </c>
      <c r="O32" s="62" t="s">
        <v>53</v>
      </c>
      <c r="P32" s="62" t="s">
        <v>54</v>
      </c>
      <c r="Q32" s="58" t="s">
        <v>36</v>
      </c>
      <c r="R32" s="10" t="s">
        <v>37</v>
      </c>
      <c r="S32" s="10" t="s">
        <v>38</v>
      </c>
      <c r="T32" s="61" t="s">
        <v>52</v>
      </c>
      <c r="U32" s="10" t="s">
        <v>40</v>
      </c>
      <c r="V32" s="10" t="s">
        <v>41</v>
      </c>
      <c r="W32" s="62" t="s">
        <v>53</v>
      </c>
      <c r="X32" s="62" t="s">
        <v>54</v>
      </c>
      <c r="Y32" s="59" t="s">
        <v>36</v>
      </c>
      <c r="Z32" s="10" t="s">
        <v>37</v>
      </c>
      <c r="AA32" s="10" t="s">
        <v>38</v>
      </c>
      <c r="AB32" s="61" t="s">
        <v>52</v>
      </c>
      <c r="AC32" s="10" t="s">
        <v>40</v>
      </c>
      <c r="AD32" s="10" t="s">
        <v>41</v>
      </c>
      <c r="AE32" s="62" t="s">
        <v>53</v>
      </c>
      <c r="AF32" s="62" t="s">
        <v>54</v>
      </c>
      <c r="AG32" s="59" t="s">
        <v>36</v>
      </c>
      <c r="AH32" s="10" t="s">
        <v>37</v>
      </c>
      <c r="AI32" s="10" t="s">
        <v>38</v>
      </c>
      <c r="AJ32" s="61" t="s">
        <v>52</v>
      </c>
      <c r="AK32" s="10" t="s">
        <v>40</v>
      </c>
      <c r="AL32" s="10" t="s">
        <v>41</v>
      </c>
      <c r="AM32" s="62" t="s">
        <v>53</v>
      </c>
      <c r="AN32" s="62" t="s">
        <v>54</v>
      </c>
      <c r="AO32" s="59" t="s">
        <v>36</v>
      </c>
      <c r="AP32" s="10" t="s">
        <v>37</v>
      </c>
      <c r="AQ32" s="10" t="s">
        <v>38</v>
      </c>
      <c r="AR32" s="61" t="s">
        <v>52</v>
      </c>
      <c r="AS32" s="10" t="s">
        <v>40</v>
      </c>
      <c r="AT32" s="10" t="s">
        <v>41</v>
      </c>
      <c r="AU32" s="62" t="s">
        <v>53</v>
      </c>
      <c r="AV32" s="62" t="s">
        <v>54</v>
      </c>
      <c r="AW32" s="63" t="s">
        <v>53</v>
      </c>
      <c r="AX32" s="63" t="s">
        <v>54</v>
      </c>
    </row>
    <row r="33" spans="1:44">
      <c r="A33" s="38"/>
      <c r="B33" s="38"/>
      <c r="C33" s="38"/>
      <c r="D33" s="38"/>
      <c r="I33" s="38"/>
      <c r="J33" s="38"/>
      <c r="K33" s="38"/>
      <c r="L33" s="38"/>
      <c r="Q33" s="38"/>
      <c r="R33" s="38"/>
      <c r="S33" s="38"/>
      <c r="T33" s="38"/>
      <c r="Y33" s="38"/>
      <c r="Z33" s="38"/>
      <c r="AA33" s="38"/>
      <c r="AB33" s="38"/>
      <c r="AG33" s="38"/>
      <c r="AH33" s="38"/>
      <c r="AI33" s="38"/>
      <c r="AJ33" s="38"/>
      <c r="AO33" s="38"/>
      <c r="AP33" s="38"/>
      <c r="AQ33" s="38"/>
      <c r="AR33" s="38"/>
    </row>
    <row r="34" spans="1:44">
      <c r="A34" s="38"/>
      <c r="B34" s="38"/>
      <c r="C34" s="38"/>
      <c r="D34" s="38"/>
      <c r="I34" s="38"/>
      <c r="J34" s="38"/>
      <c r="K34" s="38"/>
      <c r="L34" s="38"/>
      <c r="Q34" s="38"/>
      <c r="R34" s="38"/>
      <c r="S34" s="38"/>
      <c r="T34" s="38"/>
      <c r="Y34" s="38"/>
      <c r="Z34" s="38"/>
      <c r="AA34" s="38"/>
      <c r="AB34" s="38"/>
      <c r="AG34" s="38"/>
      <c r="AH34" s="38"/>
      <c r="AI34" s="38"/>
      <c r="AJ34" s="38"/>
      <c r="AO34" s="38"/>
      <c r="AP34" s="38"/>
      <c r="AQ34" s="38"/>
      <c r="AR34" s="38"/>
    </row>
    <row r="35" spans="1:44">
      <c r="A35" s="38"/>
      <c r="B35" s="38"/>
      <c r="C35" s="38"/>
      <c r="D35" s="38"/>
      <c r="I35" s="38"/>
      <c r="J35" s="38"/>
      <c r="K35" s="38"/>
      <c r="L35" s="38"/>
      <c r="Q35" s="38"/>
      <c r="R35" s="38"/>
      <c r="S35" s="38"/>
      <c r="T35" s="38"/>
      <c r="Y35" s="38"/>
      <c r="Z35" s="38"/>
      <c r="AA35" s="38"/>
      <c r="AB35" s="38"/>
      <c r="AG35" s="38"/>
      <c r="AH35" s="38"/>
      <c r="AI35" s="38"/>
      <c r="AJ35" s="38"/>
      <c r="AO35" s="38"/>
      <c r="AP35" s="38"/>
      <c r="AQ35" s="38"/>
      <c r="AR35" s="38"/>
    </row>
  </sheetData>
  <sortState ref="A2:BG32">
    <sortCondition ref="AW2:AW32" descending="1"/>
  </sortState>
  <mergeCells count="6">
    <mergeCell ref="A1:D1"/>
    <mergeCell ref="I1:L1"/>
    <mergeCell ref="Q1:T1"/>
    <mergeCell ref="Y1:AB1"/>
    <mergeCell ref="AG1:AJ1"/>
    <mergeCell ref="AO1:AR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"/>
  <sheetViews>
    <sheetView zoomScale="85" zoomScaleNormal="85" topLeftCell="E1" workbookViewId="0">
      <selection activeCell="T2" sqref="T2:Y31"/>
    </sheetView>
  </sheetViews>
  <sheetFormatPr defaultColWidth="9" defaultRowHeight="13.85"/>
  <cols>
    <col min="1" max="1" width="6.60176991150442" customWidth="1"/>
    <col min="2" max="7" width="8.60176991150442" style="14" customWidth="1"/>
    <col min="8" max="13" width="8.60176991150442" style="15" customWidth="1"/>
  </cols>
  <sheetData>
    <row r="1" ht="21" spans="1:25">
      <c r="A1" s="16" t="s">
        <v>55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ht="13.9" spans="1:25">
      <c r="A2" s="19" t="s">
        <v>56</v>
      </c>
      <c r="B2" s="20">
        <v>0.759349982256866</v>
      </c>
      <c r="C2" s="21">
        <v>1</v>
      </c>
      <c r="D2" s="22">
        <v>0.556994124921442</v>
      </c>
      <c r="E2" s="21">
        <v>1</v>
      </c>
      <c r="F2" s="20">
        <v>0.798938709450363</v>
      </c>
      <c r="G2" s="23">
        <v>0.601871145384729</v>
      </c>
      <c r="H2" s="24">
        <v>0.615017314141496</v>
      </c>
      <c r="I2" s="21">
        <v>0.583284301659643</v>
      </c>
      <c r="J2" s="21">
        <v>0.490268958472618</v>
      </c>
      <c r="K2" s="21">
        <v>0.0470775490804095</v>
      </c>
      <c r="L2" s="21">
        <v>0.319969173898454</v>
      </c>
      <c r="M2" s="25">
        <v>0.785323743762421</v>
      </c>
      <c r="T2" s="2">
        <v>0.1251</v>
      </c>
      <c r="U2" s="4">
        <v>0.1453</v>
      </c>
      <c r="V2" s="4">
        <v>0.09595</v>
      </c>
      <c r="W2" s="4">
        <v>0.01484</v>
      </c>
      <c r="X2" s="4">
        <v>0.07174</v>
      </c>
      <c r="Y2" s="4">
        <v>0.105</v>
      </c>
    </row>
    <row r="3" ht="13.9" spans="1:25">
      <c r="A3" s="26" t="s">
        <v>57</v>
      </c>
      <c r="B3" s="27">
        <v>0.701838594604993</v>
      </c>
      <c r="C3" s="28">
        <v>0.827889812757709</v>
      </c>
      <c r="D3" s="27">
        <v>1</v>
      </c>
      <c r="E3" s="28">
        <v>0.921095195389781</v>
      </c>
      <c r="F3" s="27">
        <v>0.736334187980458</v>
      </c>
      <c r="G3" s="29">
        <v>1</v>
      </c>
      <c r="H3" s="30">
        <v>0.108836375327536</v>
      </c>
      <c r="I3" s="28">
        <v>0.0999262084016565</v>
      </c>
      <c r="J3" s="28">
        <v>0.497014271503357</v>
      </c>
      <c r="K3" s="28">
        <v>0.140129191859875</v>
      </c>
      <c r="L3" s="28">
        <v>0.0181079238181172</v>
      </c>
      <c r="M3" s="31">
        <v>0.931183917861124</v>
      </c>
      <c r="T3" s="8">
        <v>0.02215</v>
      </c>
      <c r="U3" s="4">
        <v>0.0249</v>
      </c>
      <c r="V3" s="4">
        <v>0.09727</v>
      </c>
      <c r="W3" s="4">
        <v>0.04416</v>
      </c>
      <c r="X3" s="4">
        <v>0.004064</v>
      </c>
      <c r="Y3" s="4">
        <v>0.1245</v>
      </c>
    </row>
    <row r="4" ht="13.9" spans="1:25">
      <c r="A4" s="26" t="s">
        <v>58</v>
      </c>
      <c r="B4" s="27">
        <v>0.93426208598576</v>
      </c>
      <c r="C4" s="28">
        <v>0.945460275338417</v>
      </c>
      <c r="D4" s="27">
        <v>0.978201706836537</v>
      </c>
      <c r="E4" s="28">
        <v>0.956177071541441</v>
      </c>
      <c r="F4" s="27">
        <v>1</v>
      </c>
      <c r="G4" s="29">
        <v>0.655777137231428</v>
      </c>
      <c r="H4" s="30">
        <v>0.224085342843799</v>
      </c>
      <c r="I4" s="28">
        <v>0.232889830068638</v>
      </c>
      <c r="J4" s="28">
        <v>0.194037294539362</v>
      </c>
      <c r="K4" s="28">
        <v>1</v>
      </c>
      <c r="L4" s="28">
        <v>1</v>
      </c>
      <c r="M4" s="31">
        <v>0.362628439233305</v>
      </c>
      <c r="T4" s="8">
        <v>0.04559</v>
      </c>
      <c r="U4" s="4">
        <v>0.05802</v>
      </c>
      <c r="V4" s="4">
        <v>0.03798</v>
      </c>
      <c r="W4" s="4">
        <v>0.3151</v>
      </c>
      <c r="X4" s="4">
        <v>0.2242</v>
      </c>
      <c r="Y4" s="4">
        <v>0.04849</v>
      </c>
    </row>
    <row r="5" ht="13.9" spans="1:25">
      <c r="A5" s="26" t="s">
        <v>59</v>
      </c>
      <c r="B5" s="27">
        <v>0.531311906240968</v>
      </c>
      <c r="C5" s="28">
        <v>0.473040748041008</v>
      </c>
      <c r="D5" s="27">
        <v>0.257002301635986</v>
      </c>
      <c r="E5" s="28">
        <v>0.364854070400624</v>
      </c>
      <c r="F5" s="27">
        <v>0.300468082522958</v>
      </c>
      <c r="G5" s="29">
        <v>0.298249477486439</v>
      </c>
      <c r="H5" s="30">
        <v>0.483641357996678</v>
      </c>
      <c r="I5" s="28">
        <v>0.421897297100083</v>
      </c>
      <c r="J5" s="28">
        <v>0.337732902436605</v>
      </c>
      <c r="K5" s="28">
        <v>0.227182621649805</v>
      </c>
      <c r="L5" s="28">
        <v>0.455832606687731</v>
      </c>
      <c r="M5" s="31">
        <v>0.973071967858701</v>
      </c>
      <c r="T5" s="8">
        <v>0.09838</v>
      </c>
      <c r="U5" s="4">
        <v>0.1051</v>
      </c>
      <c r="V5" s="4">
        <v>0.0661</v>
      </c>
      <c r="W5" s="4">
        <v>0.07159</v>
      </c>
      <c r="X5" s="4">
        <v>0.1022</v>
      </c>
      <c r="Y5" s="4">
        <v>0.1301</v>
      </c>
    </row>
    <row r="6" ht="13.9" spans="1:25">
      <c r="A6" s="26" t="s">
        <v>60</v>
      </c>
      <c r="B6" s="27">
        <v>0.593711195436262</v>
      </c>
      <c r="C6" s="28">
        <v>0.504362658010229</v>
      </c>
      <c r="D6" s="27">
        <v>0.769511736433272</v>
      </c>
      <c r="E6" s="28">
        <v>0.766836977122104</v>
      </c>
      <c r="F6" s="32">
        <v>0.600231703373866</v>
      </c>
      <c r="G6" s="29">
        <v>0.783051437970758</v>
      </c>
      <c r="H6" s="30">
        <v>0.27035209985438</v>
      </c>
      <c r="I6" s="28">
        <v>0.0247046087889082</v>
      </c>
      <c r="J6" s="28">
        <v>0.206710306900143</v>
      </c>
      <c r="K6" s="28">
        <v>0.00458544658469782</v>
      </c>
      <c r="L6" s="28">
        <v>0.0159178730794588</v>
      </c>
      <c r="M6" s="31">
        <v>0.367864445483002</v>
      </c>
      <c r="T6" s="8">
        <v>0.055</v>
      </c>
      <c r="U6" s="4">
        <v>0.006163</v>
      </c>
      <c r="V6" s="4">
        <v>0.04046</v>
      </c>
      <c r="W6" s="4">
        <v>0.001451</v>
      </c>
      <c r="X6" s="4">
        <v>0.003573</v>
      </c>
      <c r="Y6" s="4">
        <v>0.04919</v>
      </c>
    </row>
    <row r="7" ht="13.9" spans="1:25">
      <c r="A7" s="26" t="s">
        <v>61</v>
      </c>
      <c r="B7" s="32">
        <v>0.203205865900833</v>
      </c>
      <c r="C7" s="28">
        <v>0.334732657948163</v>
      </c>
      <c r="D7" s="27">
        <v>0.682348858529329</v>
      </c>
      <c r="E7" s="28">
        <v>0.712690535828224</v>
      </c>
      <c r="F7" s="32">
        <v>0.340175840994897</v>
      </c>
      <c r="G7" s="29">
        <v>0.526380504059117</v>
      </c>
      <c r="H7" s="30">
        <v>0.0295092916284163</v>
      </c>
      <c r="I7" s="28">
        <v>0.0302969495190443</v>
      </c>
      <c r="J7" s="28">
        <v>0.0691979026144103</v>
      </c>
      <c r="K7" s="28">
        <v>0.0217961921096993</v>
      </c>
      <c r="L7" s="28">
        <v>0.0187546801462342</v>
      </c>
      <c r="M7" s="31">
        <v>0.126110556925561</v>
      </c>
      <c r="T7" s="8">
        <v>0.006016</v>
      </c>
      <c r="U7" s="4">
        <v>0.007556</v>
      </c>
      <c r="V7" s="4">
        <v>0.01355</v>
      </c>
      <c r="W7" s="4">
        <v>0.006874</v>
      </c>
      <c r="X7" s="4">
        <v>0.004209</v>
      </c>
      <c r="Y7" s="4">
        <v>0.01687</v>
      </c>
    </row>
    <row r="8" ht="13.9" spans="1:25">
      <c r="A8" s="26" t="s">
        <v>62</v>
      </c>
      <c r="B8" s="32">
        <v>0.696763484848002</v>
      </c>
      <c r="C8" s="28">
        <v>0.624476856797339</v>
      </c>
      <c r="D8" s="32">
        <v>0.390794575444562</v>
      </c>
      <c r="E8" s="28">
        <v>0.906654649111701</v>
      </c>
      <c r="F8" s="32">
        <v>0.364385826525809</v>
      </c>
      <c r="G8" s="33">
        <v>0.261995972391409</v>
      </c>
      <c r="H8" s="30">
        <v>0.933623674851982</v>
      </c>
      <c r="I8" s="28">
        <v>0.431933802358762</v>
      </c>
      <c r="J8" s="28">
        <v>0.350252612228505</v>
      </c>
      <c r="K8" s="28">
        <v>0.24568504584504</v>
      </c>
      <c r="L8" s="28">
        <v>0.528536938745026</v>
      </c>
      <c r="M8" s="31">
        <v>0.599669922166019</v>
      </c>
      <c r="T8" s="8">
        <v>0.1899</v>
      </c>
      <c r="U8" s="2">
        <v>0.1076</v>
      </c>
      <c r="V8" s="4">
        <v>0.06855</v>
      </c>
      <c r="W8" s="4">
        <v>0.07742</v>
      </c>
      <c r="X8" s="4">
        <v>0.1185</v>
      </c>
      <c r="Y8" s="4">
        <v>0.08018</v>
      </c>
    </row>
    <row r="9" ht="13.9" spans="1:25">
      <c r="A9" s="26" t="s">
        <v>63</v>
      </c>
      <c r="B9" s="32">
        <v>0.445063365721001</v>
      </c>
      <c r="C9" s="28">
        <v>0.434945434022929</v>
      </c>
      <c r="D9" s="32">
        <v>0.553929974699793</v>
      </c>
      <c r="E9" s="28">
        <v>0.460441760984746</v>
      </c>
      <c r="F9" s="32">
        <v>0.580344083025479</v>
      </c>
      <c r="G9" s="33">
        <v>0.568264458398563</v>
      </c>
      <c r="H9" s="30">
        <v>0.128896775816715</v>
      </c>
      <c r="I9" s="28">
        <v>0.106791177998593</v>
      </c>
      <c r="J9" s="28">
        <v>0.532938173477667</v>
      </c>
      <c r="K9" s="28">
        <v>0.0206854119264519</v>
      </c>
      <c r="L9" s="28">
        <v>0.134595429094701</v>
      </c>
      <c r="M9" s="31">
        <v>1</v>
      </c>
      <c r="T9" s="8">
        <v>0.02623</v>
      </c>
      <c r="U9" s="2">
        <v>0.02661</v>
      </c>
      <c r="V9" s="4">
        <v>0.1043</v>
      </c>
      <c r="W9" s="4">
        <v>0.006524</v>
      </c>
      <c r="X9" s="4">
        <v>0.03018</v>
      </c>
      <c r="Y9" s="4">
        <v>0.1337</v>
      </c>
    </row>
    <row r="10" ht="13.9" spans="1:25">
      <c r="A10" s="26" t="s">
        <v>64</v>
      </c>
      <c r="B10" s="32">
        <v>0.14970064085122</v>
      </c>
      <c r="C10" s="28">
        <v>0.192173826426715</v>
      </c>
      <c r="D10" s="32">
        <v>0.340543837836749</v>
      </c>
      <c r="E10" s="28">
        <v>0.518622188884063</v>
      </c>
      <c r="F10" s="32">
        <v>0.22484145706143</v>
      </c>
      <c r="G10" s="33">
        <v>0.400939695158493</v>
      </c>
      <c r="H10" s="30">
        <v>0.00371594335237908</v>
      </c>
      <c r="I10" s="28">
        <v>0.0255677482411546</v>
      </c>
      <c r="J10" s="28">
        <v>0.0157055262464039</v>
      </c>
      <c r="K10" s="28">
        <v>0.0184162466949608</v>
      </c>
      <c r="L10" s="28">
        <v>0.00187478602122639</v>
      </c>
      <c r="M10" s="31">
        <v>0.0325655652702587</v>
      </c>
      <c r="T10" s="8">
        <v>0.00077</v>
      </c>
      <c r="U10" s="2">
        <v>0.006378</v>
      </c>
      <c r="V10" s="4">
        <v>0.003082</v>
      </c>
      <c r="W10" s="4">
        <v>0.005809</v>
      </c>
      <c r="X10" s="4">
        <v>0.0004246</v>
      </c>
      <c r="Y10" s="4">
        <v>0.004364</v>
      </c>
    </row>
    <row r="11" ht="13.9" spans="1:25">
      <c r="A11" s="26" t="s">
        <v>65</v>
      </c>
      <c r="B11" s="32">
        <v>0.588508031676381</v>
      </c>
      <c r="C11" s="28">
        <v>0.291072436913658</v>
      </c>
      <c r="D11" s="32">
        <v>0.223579290804051</v>
      </c>
      <c r="E11" s="28">
        <v>0.478079280433992</v>
      </c>
      <c r="F11" s="28">
        <v>0.491905607762993</v>
      </c>
      <c r="G11" s="33">
        <v>0.381155168630955</v>
      </c>
      <c r="H11" s="30">
        <v>0.09339773377459</v>
      </c>
      <c r="I11" s="28">
        <v>0.133769304133923</v>
      </c>
      <c r="J11" s="28">
        <v>0.06051075704452</v>
      </c>
      <c r="K11" s="28">
        <v>0.0144364799812688</v>
      </c>
      <c r="L11" s="28">
        <v>0.281877456366596</v>
      </c>
      <c r="M11" s="31">
        <v>0.625101952521691</v>
      </c>
      <c r="T11" s="8">
        <v>0.01901</v>
      </c>
      <c r="U11" s="2">
        <v>0.03333</v>
      </c>
      <c r="V11" s="4">
        <v>0.01185</v>
      </c>
      <c r="W11" s="4">
        <v>0.004555</v>
      </c>
      <c r="X11" s="4">
        <v>0.0632</v>
      </c>
      <c r="Y11" s="4">
        <v>0.08358</v>
      </c>
    </row>
    <row r="12" ht="13.9" spans="1:25">
      <c r="A12" s="26" t="s">
        <v>66</v>
      </c>
      <c r="B12" s="28">
        <v>1</v>
      </c>
      <c r="C12" s="28">
        <v>0.683180641460303</v>
      </c>
      <c r="D12" s="32">
        <v>0.727117405706085</v>
      </c>
      <c r="E12" s="28">
        <v>0.875577645734851</v>
      </c>
      <c r="F12" s="28">
        <v>0.911373277243757</v>
      </c>
      <c r="G12" s="33">
        <v>0.590945916117309</v>
      </c>
      <c r="H12" s="30">
        <v>1</v>
      </c>
      <c r="I12" s="28">
        <v>1</v>
      </c>
      <c r="J12" s="28">
        <v>1</v>
      </c>
      <c r="K12" s="28">
        <v>0.76197567501842</v>
      </c>
      <c r="L12" s="28">
        <v>0.905885803287796</v>
      </c>
      <c r="M12" s="31">
        <v>0.288651150934014</v>
      </c>
      <c r="T12" s="8">
        <v>0.2034</v>
      </c>
      <c r="U12" s="2">
        <v>0.2491</v>
      </c>
      <c r="V12" s="4">
        <v>0.1957</v>
      </c>
      <c r="W12" s="4">
        <v>0.2401</v>
      </c>
      <c r="X12" s="4">
        <v>0.2031</v>
      </c>
      <c r="Y12" s="4">
        <v>0.0386</v>
      </c>
    </row>
    <row r="13" ht="13.9" spans="1:25">
      <c r="A13" s="26" t="s">
        <v>67</v>
      </c>
      <c r="B13" s="28">
        <v>0.550190586579321</v>
      </c>
      <c r="C13" s="28">
        <v>0.569264934826605</v>
      </c>
      <c r="D13" s="28">
        <v>0.452273633419631</v>
      </c>
      <c r="E13" s="28">
        <v>0.643592044781726</v>
      </c>
      <c r="F13" s="28">
        <v>0.32553679434369</v>
      </c>
      <c r="G13" s="31">
        <v>0.327902534698314</v>
      </c>
      <c r="H13" s="30">
        <v>0.547657636028322</v>
      </c>
      <c r="I13" s="28">
        <v>0.575656557663047</v>
      </c>
      <c r="J13" s="28">
        <v>0.565642721505489</v>
      </c>
      <c r="K13" s="28">
        <v>0.392879288413649</v>
      </c>
      <c r="L13" s="28">
        <v>0.358417722507895</v>
      </c>
      <c r="M13" s="31">
        <v>0.15356218969183</v>
      </c>
      <c r="T13" s="8">
        <v>0.1114</v>
      </c>
      <c r="U13" s="2">
        <v>0.1434</v>
      </c>
      <c r="V13" s="4">
        <v>0.1107</v>
      </c>
      <c r="W13" s="4">
        <v>0.1238</v>
      </c>
      <c r="X13" s="4">
        <v>0.08036</v>
      </c>
      <c r="Y13" s="4">
        <v>0.02054</v>
      </c>
    </row>
    <row r="14" ht="13.9" spans="1:25">
      <c r="A14" s="26" t="s">
        <v>68</v>
      </c>
      <c r="B14" s="28">
        <v>0.510283965088328</v>
      </c>
      <c r="C14" s="28">
        <v>0.664369868497377</v>
      </c>
      <c r="D14" s="28">
        <v>0.55472432211913</v>
      </c>
      <c r="E14" s="28">
        <v>0.641854827349791</v>
      </c>
      <c r="F14" s="28">
        <v>0.311153935211096</v>
      </c>
      <c r="G14" s="31">
        <v>0.427036669674474</v>
      </c>
      <c r="H14" s="30">
        <v>0.00517130574080969</v>
      </c>
      <c r="I14" s="28">
        <v>0.0311400159607733</v>
      </c>
      <c r="J14" s="28">
        <v>0.0274842736220492</v>
      </c>
      <c r="K14" s="28">
        <v>0.0027545634769395</v>
      </c>
      <c r="L14" s="28">
        <v>0.00278827357983584</v>
      </c>
      <c r="M14" s="31">
        <v>0.0440099789303109</v>
      </c>
      <c r="T14" s="8">
        <v>0.001066</v>
      </c>
      <c r="U14" s="2">
        <v>0.007766</v>
      </c>
      <c r="V14" s="4">
        <v>0.005387</v>
      </c>
      <c r="W14" s="4">
        <v>0.0008741</v>
      </c>
      <c r="X14" s="4">
        <v>0.0006294</v>
      </c>
      <c r="Y14" s="4">
        <v>0.005894</v>
      </c>
    </row>
    <row r="15" ht="13.9" spans="1:25">
      <c r="A15" s="26" t="s">
        <v>69</v>
      </c>
      <c r="B15" s="28">
        <v>0.219419697642795</v>
      </c>
      <c r="C15" s="28">
        <v>0.252664610275045</v>
      </c>
      <c r="D15" s="28">
        <v>0.425060318498265</v>
      </c>
      <c r="E15" s="28">
        <v>0.517558920588181</v>
      </c>
      <c r="F15" s="28">
        <v>0.42906172874958</v>
      </c>
      <c r="G15" s="31">
        <v>0.413097826694404</v>
      </c>
      <c r="H15" s="30">
        <v>0.00287419321420569</v>
      </c>
      <c r="I15" s="28">
        <v>0.00287922445338462</v>
      </c>
      <c r="J15" s="28">
        <v>0.100624929234895</v>
      </c>
      <c r="K15" s="28">
        <v>0.0853201239607834</v>
      </c>
      <c r="L15" s="28">
        <v>0.013304085436172</v>
      </c>
      <c r="M15" s="31">
        <v>0.170541809958704</v>
      </c>
      <c r="T15" s="8">
        <v>0.0005988</v>
      </c>
      <c r="U15" s="2">
        <v>0.0007265</v>
      </c>
      <c r="V15" s="4">
        <v>0.0197</v>
      </c>
      <c r="W15" s="4">
        <v>0.02689</v>
      </c>
      <c r="X15" s="4">
        <v>0.002987</v>
      </c>
      <c r="Y15" s="4">
        <v>0.02281</v>
      </c>
    </row>
    <row r="16" ht="13.9" spans="1:25">
      <c r="A16" s="26" t="s">
        <v>70</v>
      </c>
      <c r="B16" s="28">
        <v>0.371859165988934</v>
      </c>
      <c r="C16" s="28">
        <v>0.427071427856684</v>
      </c>
      <c r="D16" s="28">
        <v>0.379657962168704</v>
      </c>
      <c r="E16" s="28">
        <v>0.272070511798155</v>
      </c>
      <c r="F16" s="28">
        <v>0.46986440148999</v>
      </c>
      <c r="G16" s="31">
        <v>0.22754034377908</v>
      </c>
      <c r="H16" s="30">
        <v>0.0233879194203213</v>
      </c>
      <c r="I16" s="28">
        <v>0.0220710298090308</v>
      </c>
      <c r="J16" s="28">
        <v>0.0152660588822801</v>
      </c>
      <c r="K16" s="28">
        <v>0.000217858904169141</v>
      </c>
      <c r="L16" s="28">
        <v>0.0134289763133256</v>
      </c>
      <c r="M16" s="31">
        <v>0.000431072914528631</v>
      </c>
      <c r="T16" s="8">
        <v>0.004771</v>
      </c>
      <c r="U16" s="2">
        <v>0.005507</v>
      </c>
      <c r="V16" s="4">
        <v>0.002996</v>
      </c>
      <c r="W16" s="4">
        <v>7.48e-5</v>
      </c>
      <c r="X16" s="4">
        <v>0.003015</v>
      </c>
      <c r="Y16" s="4">
        <v>6.795e-5</v>
      </c>
    </row>
    <row r="17" ht="13.9" spans="1:25">
      <c r="A17" s="26" t="s">
        <v>71</v>
      </c>
      <c r="B17" s="28">
        <v>0.50909766583605</v>
      </c>
      <c r="C17" s="28">
        <v>0.237579675459326</v>
      </c>
      <c r="D17" s="28">
        <v>0.348351229773508</v>
      </c>
      <c r="E17" s="28">
        <v>0.259645302666837</v>
      </c>
      <c r="F17" s="28">
        <v>0.384783195164221</v>
      </c>
      <c r="G17" s="31">
        <v>0.358518473766165</v>
      </c>
      <c r="H17" s="30">
        <v>0.00529422486145417</v>
      </c>
      <c r="I17" s="28">
        <v>0.00283666967108783</v>
      </c>
      <c r="J17" s="28">
        <v>0.0306269762840977</v>
      </c>
      <c r="K17" s="28">
        <v>0.00202557431096258</v>
      </c>
      <c r="L17" s="28">
        <v>0.0241517501946592</v>
      </c>
      <c r="M17" s="31">
        <v>0.0501585462692408</v>
      </c>
      <c r="T17" s="8">
        <v>0.001091</v>
      </c>
      <c r="U17" s="2">
        <v>0.0007159</v>
      </c>
      <c r="V17" s="4">
        <v>0.006002</v>
      </c>
      <c r="W17" s="4">
        <v>0.0006444</v>
      </c>
      <c r="X17" s="4">
        <v>0.005419</v>
      </c>
      <c r="Y17" s="4">
        <v>0.006716</v>
      </c>
    </row>
    <row r="18" ht="13.9" spans="1:25">
      <c r="A18" s="26" t="s">
        <v>72</v>
      </c>
      <c r="B18" s="28">
        <v>0.230590596088993</v>
      </c>
      <c r="C18" s="28">
        <v>0.598591125397599</v>
      </c>
      <c r="D18" s="28">
        <v>0.17720878965242</v>
      </c>
      <c r="E18" s="28">
        <v>0.488414232941805</v>
      </c>
      <c r="F18" s="28">
        <v>0.371539797303357</v>
      </c>
      <c r="G18" s="31">
        <v>0.336949529873128</v>
      </c>
      <c r="H18" s="30">
        <v>0.00262491323753869</v>
      </c>
      <c r="I18" s="28">
        <v>0.0368206779371857</v>
      </c>
      <c r="J18" s="28">
        <v>0.00271619958516631</v>
      </c>
      <c r="K18" s="28">
        <v>0.0258426056343861</v>
      </c>
      <c r="L18" s="28">
        <v>0.00429454676607808</v>
      </c>
      <c r="M18" s="31">
        <v>0.0519313083852097</v>
      </c>
      <c r="T18" s="8">
        <v>0.0005481</v>
      </c>
      <c r="U18" s="2">
        <v>0.009181</v>
      </c>
      <c r="V18" s="4">
        <v>0.0005401</v>
      </c>
      <c r="W18" s="4">
        <v>0.008149</v>
      </c>
      <c r="X18" s="4">
        <v>0.0009671</v>
      </c>
      <c r="Y18" s="4">
        <v>0.006953</v>
      </c>
    </row>
    <row r="19" ht="13.9" spans="1:25">
      <c r="A19" s="26" t="s">
        <v>73</v>
      </c>
      <c r="B19" s="28">
        <v>0.595238535118819</v>
      </c>
      <c r="C19" s="28">
        <v>0.566380180933942</v>
      </c>
      <c r="D19" s="28">
        <v>0.533428858257647</v>
      </c>
      <c r="E19" s="28">
        <v>0.672579444893109</v>
      </c>
      <c r="F19" s="28">
        <v>0.38812102500301</v>
      </c>
      <c r="G19" s="31">
        <v>0.508726201603174</v>
      </c>
      <c r="H19" s="30">
        <v>0.00446378328238008</v>
      </c>
      <c r="I19" s="28">
        <v>0.00465167128206736</v>
      </c>
      <c r="J19" s="28">
        <v>0.0372292069172143</v>
      </c>
      <c r="K19" s="28">
        <v>0.0290543471928043</v>
      </c>
      <c r="L19" s="28">
        <v>0.00341005173252215</v>
      </c>
      <c r="M19" s="31">
        <v>0.0584987562241154</v>
      </c>
      <c r="T19" s="8">
        <v>0.0009221</v>
      </c>
      <c r="U19" s="2">
        <v>0.001168</v>
      </c>
      <c r="V19" s="4">
        <v>0.007294</v>
      </c>
      <c r="W19" s="4">
        <v>0.009161</v>
      </c>
      <c r="X19" s="4">
        <v>0.0007688</v>
      </c>
      <c r="Y19" s="4">
        <v>0.007831</v>
      </c>
    </row>
    <row r="20" ht="13.9" spans="1:25">
      <c r="A20" s="26" t="s">
        <v>74</v>
      </c>
      <c r="B20" s="28">
        <v>0.762722168309864</v>
      </c>
      <c r="C20" s="28">
        <v>0.660725192617487</v>
      </c>
      <c r="D20" s="28">
        <v>0.49058493714098</v>
      </c>
      <c r="E20" s="28">
        <v>0.422024738419566</v>
      </c>
      <c r="F20" s="28">
        <v>0.577894765731995</v>
      </c>
      <c r="G20" s="31">
        <v>0.31725069415451</v>
      </c>
      <c r="H20" s="30">
        <v>0.130666811153996</v>
      </c>
      <c r="I20" s="28">
        <v>0.0205976708370567</v>
      </c>
      <c r="J20" s="28">
        <v>0.100216122384548</v>
      </c>
      <c r="K20" s="28">
        <v>0.00200050241539786</v>
      </c>
      <c r="L20" s="28">
        <v>0.0854865520425035</v>
      </c>
      <c r="M20" s="31">
        <v>0.00406897525672887</v>
      </c>
      <c r="T20" s="8">
        <v>0.02659</v>
      </c>
      <c r="U20" s="2">
        <v>0.00514</v>
      </c>
      <c r="V20" s="4">
        <v>0.01962</v>
      </c>
      <c r="W20" s="4">
        <v>0.0006365</v>
      </c>
      <c r="X20" s="4">
        <v>0.01917</v>
      </c>
      <c r="Y20" s="4">
        <v>0.0005543</v>
      </c>
    </row>
    <row r="21" ht="13.9" spans="1:25">
      <c r="A21" s="26" t="s">
        <v>75</v>
      </c>
      <c r="B21" s="28">
        <v>0.375364376772178</v>
      </c>
      <c r="C21" s="28">
        <v>0.316522808811492</v>
      </c>
      <c r="D21" s="28">
        <v>0.545178033474833</v>
      </c>
      <c r="E21" s="28">
        <v>0.449073829586688</v>
      </c>
      <c r="F21" s="28">
        <v>0.680143120475066</v>
      </c>
      <c r="G21" s="31">
        <v>0.579692281912814</v>
      </c>
      <c r="H21" s="30">
        <v>0.179834459411787</v>
      </c>
      <c r="I21" s="28">
        <v>0.00686773164318371</v>
      </c>
      <c r="J21" s="28">
        <v>0.115393076703709</v>
      </c>
      <c r="K21" s="28">
        <v>0.0048393391980115</v>
      </c>
      <c r="L21" s="28">
        <v>0.125496236616365</v>
      </c>
      <c r="M21" s="31">
        <v>0.249306303972004</v>
      </c>
      <c r="T21" s="8">
        <v>0.03659</v>
      </c>
      <c r="U21" s="2">
        <v>0.00172</v>
      </c>
      <c r="V21" s="4">
        <v>0.02259</v>
      </c>
      <c r="W21" s="4">
        <v>0.001531</v>
      </c>
      <c r="X21" s="4">
        <v>0.02814</v>
      </c>
      <c r="Y21" s="4">
        <v>0.03334</v>
      </c>
    </row>
    <row r="22" ht="13.9" spans="1:25">
      <c r="A22" s="26" t="s">
        <v>76</v>
      </c>
      <c r="B22" s="28">
        <v>0.454692191295285</v>
      </c>
      <c r="C22" s="28">
        <v>0.38587635997335</v>
      </c>
      <c r="D22" s="28">
        <v>0.46044956580248</v>
      </c>
      <c r="E22" s="28">
        <v>0.454731650966714</v>
      </c>
      <c r="F22" s="28">
        <v>0.512864743702896</v>
      </c>
      <c r="G22" s="31">
        <v>0.540557164370223</v>
      </c>
      <c r="H22" s="30">
        <v>0.0243761891503029</v>
      </c>
      <c r="I22" s="28">
        <v>0.00323050213743839</v>
      </c>
      <c r="J22" s="28">
        <v>0.115137572422241</v>
      </c>
      <c r="K22" s="28">
        <v>0.00238737128493458</v>
      </c>
      <c r="L22" s="28">
        <v>0.0928907969023262</v>
      </c>
      <c r="M22" s="31">
        <v>0.208465455224367</v>
      </c>
      <c r="T22" s="8">
        <v>0.004972</v>
      </c>
      <c r="U22" s="2">
        <v>0.000814</v>
      </c>
      <c r="V22" s="4">
        <v>0.02254</v>
      </c>
      <c r="W22" s="4">
        <v>0.0007584</v>
      </c>
      <c r="X22" s="4">
        <v>0.02083</v>
      </c>
      <c r="Y22" s="4">
        <v>0.02788</v>
      </c>
    </row>
    <row r="23" ht="13.9" spans="1:25">
      <c r="A23" s="26" t="s">
        <v>77</v>
      </c>
      <c r="B23" s="28">
        <v>0.434588309022649</v>
      </c>
      <c r="C23" s="28">
        <v>0.23920976022131</v>
      </c>
      <c r="D23" s="28">
        <v>0.359538242205999</v>
      </c>
      <c r="E23" s="28">
        <v>0.486148125275124</v>
      </c>
      <c r="F23" s="28">
        <v>0.375925012986382</v>
      </c>
      <c r="G23" s="31">
        <v>0.198020284781098</v>
      </c>
      <c r="H23" s="30">
        <v>0.0332361993663569</v>
      </c>
      <c r="I23" s="28">
        <v>0.00488853280617219</v>
      </c>
      <c r="J23" s="28">
        <v>0.0313730487859824</v>
      </c>
      <c r="K23" s="28">
        <v>0.0259632046257101</v>
      </c>
      <c r="L23" s="28">
        <v>0.024075923590673</v>
      </c>
      <c r="M23" s="31">
        <v>0.00694578669049099</v>
      </c>
      <c r="T23" s="8">
        <v>0.006774</v>
      </c>
      <c r="U23" s="2">
        <v>0.001227</v>
      </c>
      <c r="V23" s="4">
        <v>0.006148</v>
      </c>
      <c r="W23" s="4">
        <v>0.008187</v>
      </c>
      <c r="X23" s="4">
        <v>0.005402</v>
      </c>
      <c r="Y23" s="4">
        <v>0.0009389</v>
      </c>
    </row>
    <row r="24" ht="13.9" spans="1:25">
      <c r="A24" s="26" t="s">
        <v>78</v>
      </c>
      <c r="B24" s="28">
        <v>0.5740072912591</v>
      </c>
      <c r="C24" s="28">
        <v>0.579748917461244</v>
      </c>
      <c r="D24" s="28">
        <v>0.489077157440428</v>
      </c>
      <c r="E24" s="28">
        <v>0.371644863281635</v>
      </c>
      <c r="F24" s="28">
        <v>0.291537918238529</v>
      </c>
      <c r="G24" s="31">
        <v>0.478887465191253</v>
      </c>
      <c r="H24" s="30">
        <v>0.0201428546353071</v>
      </c>
      <c r="I24" s="28">
        <v>0.115984616815543</v>
      </c>
      <c r="J24" s="28">
        <v>0.0933686076412224</v>
      </c>
      <c r="K24" s="28">
        <v>0.00185070577354278</v>
      </c>
      <c r="L24" s="28">
        <v>0.00179895941724025</v>
      </c>
      <c r="M24" s="31">
        <v>0.165605004066133</v>
      </c>
      <c r="T24" s="8">
        <v>0.004111</v>
      </c>
      <c r="U24" s="2">
        <v>0.0289</v>
      </c>
      <c r="V24" s="4">
        <v>0.01828</v>
      </c>
      <c r="W24" s="4">
        <v>0.0005893</v>
      </c>
      <c r="X24" s="4">
        <v>0.0004076</v>
      </c>
      <c r="Y24" s="4">
        <v>0.02215</v>
      </c>
    </row>
    <row r="25" ht="13.9" spans="1:25">
      <c r="A25" s="26" t="s">
        <v>79</v>
      </c>
      <c r="B25" s="28">
        <v>0.520324656146658</v>
      </c>
      <c r="C25" s="28">
        <v>0.336701970689017</v>
      </c>
      <c r="D25" s="28">
        <v>0.517061461399916</v>
      </c>
      <c r="E25" s="28">
        <v>0.329997772754858</v>
      </c>
      <c r="F25" s="28">
        <v>0.412033915967129</v>
      </c>
      <c r="G25" s="31">
        <v>0.431834743354006</v>
      </c>
      <c r="H25" s="30">
        <v>0.0332066987774022</v>
      </c>
      <c r="I25" s="28">
        <v>0.00421407965278895</v>
      </c>
      <c r="J25" s="28">
        <v>0.028276336894598</v>
      </c>
      <c r="K25" s="28">
        <v>0.00280756355996873</v>
      </c>
      <c r="L25" s="28">
        <v>0.0203738011607617</v>
      </c>
      <c r="M25" s="31">
        <v>0.0447953798677654</v>
      </c>
      <c r="T25" s="8">
        <v>0.006768</v>
      </c>
      <c r="U25" s="2">
        <v>0.001059</v>
      </c>
      <c r="V25" s="4">
        <v>0.005542</v>
      </c>
      <c r="W25" s="4">
        <v>0.0008908</v>
      </c>
      <c r="X25" s="4">
        <v>0.004572</v>
      </c>
      <c r="Y25" s="4">
        <v>0.005999</v>
      </c>
    </row>
    <row r="26" ht="13.9" spans="1:25">
      <c r="A26" s="26" t="s">
        <v>80</v>
      </c>
      <c r="B26" s="28">
        <v>0.196844858031339</v>
      </c>
      <c r="C26" s="28">
        <v>0.279726467780786</v>
      </c>
      <c r="D26" s="28">
        <v>0.319194578192549</v>
      </c>
      <c r="E26" s="28">
        <v>0.505760016851203</v>
      </c>
      <c r="F26" s="28">
        <v>0.221933713391022</v>
      </c>
      <c r="G26" s="31">
        <v>0.394769457894118</v>
      </c>
      <c r="H26" s="30">
        <v>0.00376412764767171</v>
      </c>
      <c r="I26" s="28">
        <v>0.0827838574198326</v>
      </c>
      <c r="J26" s="28">
        <v>0.0618393793081503</v>
      </c>
      <c r="K26" s="28">
        <v>0.0666272803055633</v>
      </c>
      <c r="L26" s="28">
        <v>0.00201796449110609</v>
      </c>
      <c r="M26" s="31">
        <v>0.12768135880047</v>
      </c>
      <c r="T26" s="8">
        <v>0.0007798</v>
      </c>
      <c r="U26" s="2">
        <v>0.02063</v>
      </c>
      <c r="V26" s="4">
        <v>0.01211</v>
      </c>
      <c r="W26" s="4">
        <v>0.021</v>
      </c>
      <c r="X26" s="4">
        <v>0.0004567</v>
      </c>
      <c r="Y26" s="4">
        <v>0.01708</v>
      </c>
    </row>
    <row r="27" ht="13.9" spans="1:25">
      <c r="A27" s="26" t="s">
        <v>81</v>
      </c>
      <c r="B27" s="28">
        <v>0.222051951614189</v>
      </c>
      <c r="C27" s="28">
        <v>0.281831142497598</v>
      </c>
      <c r="D27" s="28">
        <v>0.459198420996118</v>
      </c>
      <c r="E27" s="28">
        <v>0.619608393688049</v>
      </c>
      <c r="F27" s="28">
        <v>0.47461284844444</v>
      </c>
      <c r="G27" s="31">
        <v>0.499161070180078</v>
      </c>
      <c r="H27" s="30">
        <v>0.00304087154179961</v>
      </c>
      <c r="I27" s="28">
        <v>0.00279331196837033</v>
      </c>
      <c r="J27" s="28">
        <v>0.0262425228141178</v>
      </c>
      <c r="K27" s="28">
        <v>0.0241700880441822</v>
      </c>
      <c r="L27" s="28">
        <v>0.00379409117976958</v>
      </c>
      <c r="M27" s="31">
        <v>0.0489243447960979</v>
      </c>
      <c r="T27" s="8">
        <v>0.0006327</v>
      </c>
      <c r="U27" s="2">
        <v>0.0007051</v>
      </c>
      <c r="V27" s="4">
        <v>0.005144</v>
      </c>
      <c r="W27" s="4">
        <v>0.007622</v>
      </c>
      <c r="X27" s="4">
        <v>0.0008549</v>
      </c>
      <c r="Y27" s="4">
        <v>0.006551</v>
      </c>
    </row>
    <row r="28" ht="13.9" spans="1:25">
      <c r="A28" s="26" t="s">
        <v>82</v>
      </c>
      <c r="B28" s="28">
        <v>0.252016133983469</v>
      </c>
      <c r="C28" s="28">
        <v>0.0605903858287425</v>
      </c>
      <c r="D28" s="28">
        <v>0.280421085119151</v>
      </c>
      <c r="E28" s="28">
        <v>0.40379050501902</v>
      </c>
      <c r="F28" s="28">
        <v>0.314061610950827</v>
      </c>
      <c r="G28" s="31">
        <v>0.326609834109791</v>
      </c>
      <c r="H28" s="30">
        <v>2.36004711637397e-5</v>
      </c>
      <c r="I28" s="28">
        <v>0</v>
      </c>
      <c r="J28" s="28">
        <v>2.54328961772609e-5</v>
      </c>
      <c r="K28" s="28">
        <v>7.55013158841572e-6</v>
      </c>
      <c r="L28" s="28">
        <v>3.60354784472936e-5</v>
      </c>
      <c r="M28" s="31">
        <v>4.5478454283083e-5</v>
      </c>
      <c r="T28" s="8">
        <v>1.903e-5</v>
      </c>
      <c r="U28" s="2">
        <v>9.312e-6</v>
      </c>
      <c r="V28" s="4">
        <v>1.354e-5</v>
      </c>
      <c r="W28" s="4">
        <v>8.533e-6</v>
      </c>
      <c r="X28" s="4">
        <v>1.236e-5</v>
      </c>
      <c r="Y28" s="4">
        <v>1.64e-5</v>
      </c>
    </row>
    <row r="29" ht="13.9" spans="1:25">
      <c r="A29" s="26" t="s">
        <v>83</v>
      </c>
      <c r="B29" s="28">
        <v>0.155101848952021</v>
      </c>
      <c r="C29" s="28">
        <v>0.149596093245495</v>
      </c>
      <c r="D29" s="28">
        <v>0.139607712280129</v>
      </c>
      <c r="E29" s="28">
        <v>0.235146106731598</v>
      </c>
      <c r="F29" s="28">
        <v>0.227944997008736</v>
      </c>
      <c r="G29" s="31">
        <v>0</v>
      </c>
      <c r="H29" s="30">
        <v>0.00348485540556746</v>
      </c>
      <c r="I29" s="28">
        <v>0.0049286788272069</v>
      </c>
      <c r="J29" s="28">
        <v>0.00330590346679298</v>
      </c>
      <c r="K29" s="28">
        <v>0.00214426910768673</v>
      </c>
      <c r="L29" s="28">
        <v>0.00303760929529613</v>
      </c>
      <c r="M29" s="31">
        <v>5.7670868835949e-5</v>
      </c>
      <c r="T29" s="8">
        <v>0.000723</v>
      </c>
      <c r="U29" s="2">
        <v>0.001237</v>
      </c>
      <c r="V29" s="4">
        <v>0.0006555</v>
      </c>
      <c r="W29" s="4">
        <v>0.0006818</v>
      </c>
      <c r="X29" s="4">
        <v>0.0006853</v>
      </c>
      <c r="Y29" s="4">
        <v>1.803e-5</v>
      </c>
    </row>
    <row r="30" ht="13.9" spans="1:25">
      <c r="A30" s="26" t="s">
        <v>84</v>
      </c>
      <c r="B30" s="28">
        <v>0.0483370512425061</v>
      </c>
      <c r="C30" s="28">
        <v>0.0789149414987501</v>
      </c>
      <c r="D30" s="28">
        <v>0.0693932010828186</v>
      </c>
      <c r="E30" s="28">
        <v>0.121828413891368</v>
      </c>
      <c r="F30" s="28">
        <v>0.077527514054325</v>
      </c>
      <c r="G30" s="31">
        <v>0.0895169192480449</v>
      </c>
      <c r="H30" s="30">
        <v>0</v>
      </c>
      <c r="I30" s="28">
        <v>2.27547647224773e-5</v>
      </c>
      <c r="J30" s="28">
        <v>0</v>
      </c>
      <c r="K30" s="28">
        <v>0</v>
      </c>
      <c r="L30" s="28">
        <v>0</v>
      </c>
      <c r="M30" s="31">
        <v>0</v>
      </c>
      <c r="T30" s="8">
        <v>1.423e-5</v>
      </c>
      <c r="U30" s="2">
        <v>1.498e-5</v>
      </c>
      <c r="V30" s="4">
        <v>8.563e-6</v>
      </c>
      <c r="W30" s="4">
        <v>6.154e-6</v>
      </c>
      <c r="X30" s="4">
        <v>4.281e-6</v>
      </c>
      <c r="Y30" s="4">
        <v>1.032e-5</v>
      </c>
    </row>
    <row r="31" ht="14.65" spans="1:25">
      <c r="A31" s="34" t="s">
        <v>85</v>
      </c>
      <c r="B31" s="35">
        <v>0</v>
      </c>
      <c r="C31" s="35">
        <v>0</v>
      </c>
      <c r="D31" s="35">
        <v>0</v>
      </c>
      <c r="E31" s="35">
        <v>0</v>
      </c>
      <c r="F31" s="35">
        <v>0</v>
      </c>
      <c r="G31" s="36">
        <v>0.0143217947977166</v>
      </c>
      <c r="H31" s="37">
        <v>2.56655123905669e-5</v>
      </c>
      <c r="I31" s="35">
        <v>5.01744970891887e-5</v>
      </c>
      <c r="J31" s="35">
        <v>2.29800550751743e-5</v>
      </c>
      <c r="K31" s="35">
        <v>5.26382860552599e-5</v>
      </c>
      <c r="L31" s="35">
        <v>3.90685426067391e-5</v>
      </c>
      <c r="M31" s="36">
        <v>4.94428590149965e-5</v>
      </c>
      <c r="T31" s="8">
        <v>1.945e-5</v>
      </c>
      <c r="U31" s="2">
        <v>2.181e-5</v>
      </c>
      <c r="V31" s="4">
        <v>1.306e-5</v>
      </c>
      <c r="W31" s="4">
        <v>2.274e-5</v>
      </c>
      <c r="X31" s="4">
        <v>1.304e-5</v>
      </c>
      <c r="Y31" s="4">
        <v>1.693e-5</v>
      </c>
    </row>
  </sheetData>
  <mergeCells count="1">
    <mergeCell ref="A1:M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4"/>
  <sheetViews>
    <sheetView zoomScale="55" zoomScaleNormal="55" workbookViewId="0">
      <selection activeCell="A32" sqref="A32:A34"/>
    </sheetView>
  </sheetViews>
  <sheetFormatPr defaultColWidth="9" defaultRowHeight="13.85"/>
  <sheetData>
    <row r="1" spans="1:30">
      <c r="A1" s="1">
        <v>9.32</v>
      </c>
      <c r="B1" s="2">
        <v>0.1251</v>
      </c>
      <c r="C1" s="2">
        <f>A1*B1</f>
        <v>1.165932</v>
      </c>
      <c r="D1" s="2"/>
      <c r="E1" s="2"/>
      <c r="F1" s="3">
        <v>17</v>
      </c>
      <c r="G1" s="4">
        <v>0.1453</v>
      </c>
      <c r="H1" s="2">
        <f>F1*G1</f>
        <v>2.4701</v>
      </c>
      <c r="I1" s="2"/>
      <c r="J1" s="2"/>
      <c r="K1" s="5">
        <v>12</v>
      </c>
      <c r="L1" s="4">
        <v>0.09595</v>
      </c>
      <c r="M1" s="2">
        <f>K1*L1</f>
        <v>1.1514</v>
      </c>
      <c r="N1" s="2"/>
      <c r="O1" s="2"/>
      <c r="P1" s="6">
        <v>6</v>
      </c>
      <c r="Q1" s="4">
        <v>0.01484</v>
      </c>
      <c r="R1" s="2">
        <f>P1*Q1</f>
        <v>0.08904</v>
      </c>
      <c r="S1" s="2"/>
      <c r="T1" s="2"/>
      <c r="U1" s="5">
        <v>2.3</v>
      </c>
      <c r="V1" s="4">
        <v>0.07174</v>
      </c>
      <c r="W1" s="2">
        <f>U1*V1</f>
        <v>0.165002</v>
      </c>
      <c r="X1" s="2"/>
      <c r="Y1" s="2"/>
      <c r="Z1" s="5">
        <v>12</v>
      </c>
      <c r="AA1" s="4">
        <v>0.105</v>
      </c>
      <c r="AB1" s="2">
        <f>Z1*AA1</f>
        <v>1.26</v>
      </c>
      <c r="AC1" s="2"/>
      <c r="AD1" s="7">
        <v>0.0833</v>
      </c>
    </row>
    <row r="2" spans="1:30">
      <c r="A2" s="1">
        <v>9.2</v>
      </c>
      <c r="B2" s="8">
        <v>0.02215</v>
      </c>
      <c r="C2" s="2">
        <f t="shared" ref="C2:C30" si="0">A2*B2</f>
        <v>0.20378</v>
      </c>
      <c r="D2" s="2"/>
      <c r="E2" s="2"/>
      <c r="F2" s="1">
        <v>17</v>
      </c>
      <c r="G2" s="4">
        <v>0.0249</v>
      </c>
      <c r="H2" s="2">
        <f t="shared" ref="H2:H30" si="1">F2*G2</f>
        <v>0.4233</v>
      </c>
      <c r="I2" s="2"/>
      <c r="J2" s="2"/>
      <c r="K2" s="9">
        <v>13</v>
      </c>
      <c r="L2" s="4">
        <v>0.09727</v>
      </c>
      <c r="M2" s="2">
        <f t="shared" ref="M2:M30" si="2">K2*L2</f>
        <v>1.26451</v>
      </c>
      <c r="N2" s="2"/>
      <c r="O2" s="2"/>
      <c r="P2" s="1">
        <v>8</v>
      </c>
      <c r="Q2" s="4">
        <v>0.04416</v>
      </c>
      <c r="R2" s="2">
        <f t="shared" ref="R2:R30" si="3">P2*Q2</f>
        <v>0.35328</v>
      </c>
      <c r="S2" s="2"/>
      <c r="T2" s="2"/>
      <c r="U2" s="1">
        <v>3</v>
      </c>
      <c r="V2" s="4">
        <v>0.004064</v>
      </c>
      <c r="W2" s="2">
        <f t="shared" ref="W2:W30" si="4">U2*V2</f>
        <v>0.012192</v>
      </c>
      <c r="X2" s="2"/>
      <c r="Y2" s="2"/>
      <c r="Z2" s="9">
        <v>12</v>
      </c>
      <c r="AA2" s="4">
        <v>0.1245</v>
      </c>
      <c r="AB2" s="2">
        <f t="shared" ref="AB2:AB30" si="5">Z2*AA2</f>
        <v>1.494</v>
      </c>
      <c r="AC2" s="2"/>
      <c r="AD2" s="7">
        <v>0.03735</v>
      </c>
    </row>
    <row r="3" spans="1:30">
      <c r="A3" s="1">
        <v>9.58</v>
      </c>
      <c r="B3" s="8">
        <v>0.04559</v>
      </c>
      <c r="C3" s="2">
        <f t="shared" si="0"/>
        <v>0.4367522</v>
      </c>
      <c r="D3" s="2"/>
      <c r="E3" s="2"/>
      <c r="F3" s="1">
        <v>16</v>
      </c>
      <c r="G3" s="4">
        <v>0.05802</v>
      </c>
      <c r="H3" s="2">
        <f t="shared" si="1"/>
        <v>0.92832</v>
      </c>
      <c r="I3" s="2"/>
      <c r="J3" s="2"/>
      <c r="K3" s="10">
        <v>19</v>
      </c>
      <c r="L3" s="4">
        <v>0.03798</v>
      </c>
      <c r="M3" s="2">
        <f t="shared" si="2"/>
        <v>0.72162</v>
      </c>
      <c r="N3" s="2"/>
      <c r="O3" s="2"/>
      <c r="P3" s="1">
        <v>7</v>
      </c>
      <c r="Q3" s="4">
        <v>0.3151</v>
      </c>
      <c r="R3" s="2">
        <f t="shared" si="3"/>
        <v>2.2057</v>
      </c>
      <c r="S3" s="2"/>
      <c r="T3" s="2"/>
      <c r="U3" s="10">
        <v>4.5</v>
      </c>
      <c r="V3" s="4">
        <v>0.2242</v>
      </c>
      <c r="W3" s="2">
        <f t="shared" si="4"/>
        <v>1.0089</v>
      </c>
      <c r="X3" s="2"/>
      <c r="Y3" s="2"/>
      <c r="Z3" s="1">
        <v>20</v>
      </c>
      <c r="AA3" s="4">
        <v>0.04849</v>
      </c>
      <c r="AB3" s="2">
        <f t="shared" si="5"/>
        <v>0.9698</v>
      </c>
      <c r="AC3" s="2"/>
      <c r="AD3" s="7">
        <v>0.08971</v>
      </c>
    </row>
    <row r="4" spans="1:30">
      <c r="A4" s="3">
        <v>9.79</v>
      </c>
      <c r="B4" s="8">
        <v>0.09838</v>
      </c>
      <c r="C4" s="2">
        <f t="shared" si="0"/>
        <v>0.9631402</v>
      </c>
      <c r="D4" s="2"/>
      <c r="E4" s="2"/>
      <c r="F4" s="3">
        <v>22</v>
      </c>
      <c r="G4" s="4">
        <v>0.1051</v>
      </c>
      <c r="H4" s="2">
        <f t="shared" si="1"/>
        <v>2.3122</v>
      </c>
      <c r="I4" s="2"/>
      <c r="J4" s="2"/>
      <c r="K4" s="1">
        <v>15</v>
      </c>
      <c r="L4" s="4">
        <v>0.0661</v>
      </c>
      <c r="M4" s="2">
        <f t="shared" si="2"/>
        <v>0.9915</v>
      </c>
      <c r="N4" s="2"/>
      <c r="O4" s="2"/>
      <c r="P4" s="1">
        <v>5</v>
      </c>
      <c r="Q4" s="4">
        <v>0.07159</v>
      </c>
      <c r="R4" s="2">
        <f t="shared" si="3"/>
        <v>0.35795</v>
      </c>
      <c r="S4" s="2"/>
      <c r="T4" s="2"/>
      <c r="U4" s="9">
        <v>4</v>
      </c>
      <c r="V4" s="4">
        <v>0.1022</v>
      </c>
      <c r="W4" s="2">
        <f t="shared" si="4"/>
        <v>0.4088</v>
      </c>
      <c r="X4" s="2"/>
      <c r="Y4" s="2"/>
      <c r="Z4" s="9">
        <v>12</v>
      </c>
      <c r="AA4" s="4">
        <v>0.1301</v>
      </c>
      <c r="AB4" s="2">
        <f t="shared" si="5"/>
        <v>1.5612</v>
      </c>
      <c r="AC4" s="2"/>
      <c r="AD4" s="7">
        <v>0.1416</v>
      </c>
    </row>
    <row r="5" spans="1:30">
      <c r="A5" s="9">
        <v>8.9</v>
      </c>
      <c r="B5" s="8">
        <v>0.055</v>
      </c>
      <c r="C5" s="2">
        <f t="shared" si="0"/>
        <v>0.4895</v>
      </c>
      <c r="D5" s="2"/>
      <c r="E5" s="2"/>
      <c r="F5" s="1">
        <v>18</v>
      </c>
      <c r="G5" s="4">
        <v>0.006163</v>
      </c>
      <c r="H5" s="2">
        <f t="shared" si="1"/>
        <v>0.110934</v>
      </c>
      <c r="I5" s="2"/>
      <c r="J5" s="2"/>
      <c r="K5" s="9">
        <v>5.79</v>
      </c>
      <c r="L5" s="4">
        <v>0.04046</v>
      </c>
      <c r="M5" s="2">
        <f t="shared" si="2"/>
        <v>0.2342634</v>
      </c>
      <c r="N5" s="2"/>
      <c r="O5" s="2"/>
      <c r="P5" s="1">
        <v>6</v>
      </c>
      <c r="Q5" s="4">
        <v>0.001451</v>
      </c>
      <c r="R5" s="2">
        <f t="shared" si="3"/>
        <v>0.008706</v>
      </c>
      <c r="S5" s="2"/>
      <c r="T5" s="2"/>
      <c r="U5" s="1">
        <v>2.5</v>
      </c>
      <c r="V5" s="4">
        <v>0.003573</v>
      </c>
      <c r="W5" s="2">
        <f t="shared" si="4"/>
        <v>0.0089325</v>
      </c>
      <c r="X5" s="2"/>
      <c r="Y5" s="2"/>
      <c r="Z5" s="9">
        <v>9</v>
      </c>
      <c r="AA5" s="4">
        <v>0.04919</v>
      </c>
      <c r="AB5" s="2">
        <f t="shared" si="5"/>
        <v>0.44271</v>
      </c>
      <c r="AC5" s="2"/>
      <c r="AD5" s="7">
        <v>0.008942</v>
      </c>
    </row>
    <row r="6" spans="1:30">
      <c r="A6" s="1">
        <v>9.8</v>
      </c>
      <c r="B6" s="8">
        <v>0.006016</v>
      </c>
      <c r="C6" s="2">
        <f t="shared" si="0"/>
        <v>0.0589568</v>
      </c>
      <c r="D6" s="2"/>
      <c r="E6" s="2"/>
      <c r="F6" s="3">
        <v>22</v>
      </c>
      <c r="G6" s="4">
        <v>0.007556</v>
      </c>
      <c r="H6" s="2">
        <f t="shared" si="1"/>
        <v>0.166232</v>
      </c>
      <c r="I6" s="2"/>
      <c r="J6" s="2"/>
      <c r="K6" s="9">
        <v>10</v>
      </c>
      <c r="L6" s="4">
        <v>0.01355</v>
      </c>
      <c r="M6" s="2">
        <f t="shared" si="2"/>
        <v>0.1355</v>
      </c>
      <c r="N6" s="2"/>
      <c r="O6" s="2"/>
      <c r="P6" s="3">
        <v>15</v>
      </c>
      <c r="Q6" s="4">
        <v>0.006874</v>
      </c>
      <c r="R6" s="2">
        <f t="shared" si="3"/>
        <v>0.10311</v>
      </c>
      <c r="S6" s="2"/>
      <c r="T6" s="2"/>
      <c r="U6" s="1">
        <v>3</v>
      </c>
      <c r="V6" s="4">
        <v>0.004209</v>
      </c>
      <c r="W6" s="2">
        <f t="shared" si="4"/>
        <v>0.012627</v>
      </c>
      <c r="X6" s="2"/>
      <c r="Y6" s="2"/>
      <c r="Z6" s="9">
        <v>8</v>
      </c>
      <c r="AA6" s="4">
        <v>0.01687</v>
      </c>
      <c r="AB6" s="2">
        <f t="shared" si="5"/>
        <v>0.13496</v>
      </c>
      <c r="AC6" s="2"/>
      <c r="AD6" s="7">
        <v>0.004954</v>
      </c>
    </row>
    <row r="7" spans="1:30">
      <c r="A7" s="10">
        <v>8</v>
      </c>
      <c r="B7" s="8">
        <v>0.1899</v>
      </c>
      <c r="C7" s="2">
        <f t="shared" si="0"/>
        <v>1.5192</v>
      </c>
      <c r="D7" s="2"/>
      <c r="E7" s="2"/>
      <c r="F7" s="3">
        <v>15</v>
      </c>
      <c r="G7" s="2">
        <v>0.1076</v>
      </c>
      <c r="H7" s="2">
        <f t="shared" si="1"/>
        <v>1.614</v>
      </c>
      <c r="I7" s="2"/>
      <c r="J7" s="2"/>
      <c r="K7" s="1">
        <v>15</v>
      </c>
      <c r="L7" s="4">
        <v>0.06855</v>
      </c>
      <c r="M7" s="2">
        <f t="shared" si="2"/>
        <v>1.02825</v>
      </c>
      <c r="N7" s="2"/>
      <c r="O7" s="2"/>
      <c r="P7" s="1">
        <v>7</v>
      </c>
      <c r="Q7" s="4">
        <v>0.07742</v>
      </c>
      <c r="R7" s="2">
        <f t="shared" si="3"/>
        <v>0.54194</v>
      </c>
      <c r="S7" s="2"/>
      <c r="T7" s="2"/>
      <c r="U7" s="10">
        <v>6</v>
      </c>
      <c r="V7" s="4">
        <v>0.1185</v>
      </c>
      <c r="W7" s="2">
        <f t="shared" si="4"/>
        <v>0.711</v>
      </c>
      <c r="X7" s="2"/>
      <c r="Y7" s="2"/>
      <c r="Z7" s="1">
        <v>20</v>
      </c>
      <c r="AA7" s="4">
        <v>0.08018</v>
      </c>
      <c r="AB7" s="2">
        <f t="shared" si="5"/>
        <v>1.6036</v>
      </c>
      <c r="AC7" s="2"/>
      <c r="AD7" s="7">
        <v>0.1526</v>
      </c>
    </row>
    <row r="8" spans="1:30">
      <c r="A8" s="1">
        <v>9.7</v>
      </c>
      <c r="B8" s="8">
        <v>0.02623</v>
      </c>
      <c r="C8" s="2">
        <f t="shared" si="0"/>
        <v>0.254431</v>
      </c>
      <c r="D8" s="2"/>
      <c r="E8" s="2"/>
      <c r="F8" s="1">
        <v>20</v>
      </c>
      <c r="G8" s="2">
        <v>0.02661</v>
      </c>
      <c r="H8" s="2">
        <f t="shared" si="1"/>
        <v>0.5322</v>
      </c>
      <c r="I8" s="2"/>
      <c r="J8" s="2"/>
      <c r="K8" s="10">
        <v>9</v>
      </c>
      <c r="L8" s="4">
        <v>0.1043</v>
      </c>
      <c r="M8" s="2">
        <f t="shared" si="2"/>
        <v>0.9387</v>
      </c>
      <c r="N8" s="2"/>
      <c r="O8" s="2"/>
      <c r="P8" s="1">
        <v>4</v>
      </c>
      <c r="Q8" s="4">
        <v>0.006524</v>
      </c>
      <c r="R8" s="2">
        <f t="shared" si="3"/>
        <v>0.026096</v>
      </c>
      <c r="S8" s="2"/>
      <c r="T8" s="2"/>
      <c r="U8" s="10">
        <v>3</v>
      </c>
      <c r="V8" s="4">
        <v>0.03018</v>
      </c>
      <c r="W8" s="2">
        <f t="shared" si="4"/>
        <v>0.09054</v>
      </c>
      <c r="X8" s="2"/>
      <c r="Y8" s="2"/>
      <c r="Z8" s="10">
        <v>12</v>
      </c>
      <c r="AA8" s="4">
        <v>0.1337</v>
      </c>
      <c r="AB8" s="2">
        <f t="shared" si="5"/>
        <v>1.6044</v>
      </c>
      <c r="AC8" s="2"/>
      <c r="AD8" s="7">
        <v>0.04043</v>
      </c>
    </row>
    <row r="9" spans="1:30">
      <c r="A9" s="1">
        <v>9.18</v>
      </c>
      <c r="B9" s="8">
        <v>0.00077</v>
      </c>
      <c r="C9" s="2">
        <f t="shared" si="0"/>
        <v>0.0070686</v>
      </c>
      <c r="D9" s="2"/>
      <c r="E9" s="2"/>
      <c r="F9" s="3">
        <v>34</v>
      </c>
      <c r="G9" s="2">
        <v>0.006378</v>
      </c>
      <c r="H9" s="2">
        <f t="shared" si="1"/>
        <v>0.216852</v>
      </c>
      <c r="I9" s="2"/>
      <c r="J9" s="2"/>
      <c r="K9" s="10">
        <v>2.23</v>
      </c>
      <c r="L9" s="4">
        <v>0.003082</v>
      </c>
      <c r="M9" s="2">
        <f t="shared" si="2"/>
        <v>0.00687286</v>
      </c>
      <c r="N9" s="2"/>
      <c r="O9" s="2"/>
      <c r="P9" s="10">
        <v>41</v>
      </c>
      <c r="Q9" s="4">
        <v>0.005809</v>
      </c>
      <c r="R9" s="2">
        <f t="shared" si="3"/>
        <v>0.238169</v>
      </c>
      <c r="S9" s="2"/>
      <c r="T9" s="2"/>
      <c r="U9" s="1">
        <v>2.2</v>
      </c>
      <c r="V9" s="4">
        <v>0.0004246</v>
      </c>
      <c r="W9" s="2">
        <f t="shared" si="4"/>
        <v>0.00093412</v>
      </c>
      <c r="X9" s="2"/>
      <c r="Y9" s="2"/>
      <c r="Z9" s="10">
        <v>12</v>
      </c>
      <c r="AA9" s="4">
        <v>0.004364</v>
      </c>
      <c r="AB9" s="2">
        <f t="shared" si="5"/>
        <v>0.052368</v>
      </c>
      <c r="AC9" s="2"/>
      <c r="AD9" s="7">
        <v>0.001212</v>
      </c>
    </row>
    <row r="10" spans="1:30">
      <c r="A10" s="3">
        <v>6.5</v>
      </c>
      <c r="B10" s="8">
        <v>0.01901</v>
      </c>
      <c r="C10" s="2">
        <f t="shared" si="0"/>
        <v>0.123565</v>
      </c>
      <c r="D10" s="2"/>
      <c r="E10" s="2"/>
      <c r="F10" s="1">
        <v>22</v>
      </c>
      <c r="G10" s="2">
        <v>0.03333</v>
      </c>
      <c r="H10" s="2">
        <f t="shared" si="1"/>
        <v>0.73326</v>
      </c>
      <c r="I10" s="2"/>
      <c r="J10" s="2"/>
      <c r="K10" s="1">
        <v>20</v>
      </c>
      <c r="L10" s="4">
        <v>0.01185</v>
      </c>
      <c r="M10" s="2">
        <f t="shared" si="2"/>
        <v>0.237</v>
      </c>
      <c r="N10" s="2"/>
      <c r="O10" s="2"/>
      <c r="P10" s="3">
        <v>10</v>
      </c>
      <c r="Q10" s="4">
        <v>0.004555</v>
      </c>
      <c r="R10" s="2">
        <f t="shared" si="3"/>
        <v>0.04555</v>
      </c>
      <c r="S10" s="2"/>
      <c r="T10" s="2"/>
      <c r="U10" s="9">
        <v>2</v>
      </c>
      <c r="V10" s="4">
        <v>0.0632</v>
      </c>
      <c r="W10" s="2">
        <f t="shared" si="4"/>
        <v>0.1264</v>
      </c>
      <c r="X10" s="2"/>
      <c r="Y10" s="2"/>
      <c r="Z10" s="10">
        <v>8</v>
      </c>
      <c r="AA10" s="4">
        <v>0.08358</v>
      </c>
      <c r="AB10" s="2">
        <f t="shared" si="5"/>
        <v>0.66864</v>
      </c>
      <c r="AC10" s="2"/>
      <c r="AD10" s="7">
        <v>0.02729</v>
      </c>
    </row>
    <row r="11" spans="1:30">
      <c r="A11" s="1">
        <v>9.58</v>
      </c>
      <c r="B11" s="8">
        <v>0.2034</v>
      </c>
      <c r="C11" s="2">
        <f t="shared" si="0"/>
        <v>1.948572</v>
      </c>
      <c r="D11" s="2"/>
      <c r="E11" s="2"/>
      <c r="F11" s="1">
        <v>20</v>
      </c>
      <c r="G11" s="2">
        <v>0.2491</v>
      </c>
      <c r="H11" s="2">
        <f t="shared" si="1"/>
        <v>4.982</v>
      </c>
      <c r="I11" s="2"/>
      <c r="J11" s="2"/>
      <c r="K11" s="10">
        <v>50</v>
      </c>
      <c r="L11" s="4">
        <v>0.1957</v>
      </c>
      <c r="M11" s="2">
        <f t="shared" si="2"/>
        <v>9.785</v>
      </c>
      <c r="N11" s="2"/>
      <c r="O11" s="2"/>
      <c r="P11" s="1">
        <v>6</v>
      </c>
      <c r="Q11" s="4">
        <v>0.2401</v>
      </c>
      <c r="R11" s="2">
        <f t="shared" si="3"/>
        <v>1.4406</v>
      </c>
      <c r="S11" s="2"/>
      <c r="T11" s="2"/>
      <c r="U11" s="10">
        <v>1.8</v>
      </c>
      <c r="V11" s="4">
        <v>0.2031</v>
      </c>
      <c r="W11" s="2">
        <f t="shared" si="4"/>
        <v>0.36558</v>
      </c>
      <c r="X11" s="2"/>
      <c r="Y11" s="2"/>
      <c r="Z11" s="1">
        <v>14</v>
      </c>
      <c r="AA11" s="4">
        <v>0.0386</v>
      </c>
      <c r="AB11" s="2">
        <f t="shared" si="5"/>
        <v>0.5404</v>
      </c>
      <c r="AC11" s="2"/>
      <c r="AD11" s="7">
        <v>0.245</v>
      </c>
    </row>
    <row r="12" spans="1:30">
      <c r="A12" s="10">
        <v>9.68</v>
      </c>
      <c r="B12" s="8">
        <v>0.1114</v>
      </c>
      <c r="C12" s="2">
        <f t="shared" si="0"/>
        <v>1.078352</v>
      </c>
      <c r="D12" s="2"/>
      <c r="E12" s="2"/>
      <c r="F12" s="3">
        <v>20</v>
      </c>
      <c r="G12" s="2">
        <v>0.1434</v>
      </c>
      <c r="H12" s="2">
        <f t="shared" si="1"/>
        <v>2.868</v>
      </c>
      <c r="I12" s="2"/>
      <c r="J12" s="2"/>
      <c r="K12" s="10">
        <v>12</v>
      </c>
      <c r="L12" s="4">
        <v>0.1107</v>
      </c>
      <c r="M12" s="2">
        <f t="shared" si="2"/>
        <v>1.3284</v>
      </c>
      <c r="N12" s="2"/>
      <c r="O12" s="2"/>
      <c r="P12" s="3">
        <v>6</v>
      </c>
      <c r="Q12" s="4">
        <v>0.1238</v>
      </c>
      <c r="R12" s="2">
        <f t="shared" si="3"/>
        <v>0.7428</v>
      </c>
      <c r="S12" s="2"/>
      <c r="T12" s="2"/>
      <c r="U12" s="1">
        <v>3</v>
      </c>
      <c r="V12" s="4">
        <v>0.08036</v>
      </c>
      <c r="W12" s="2">
        <f t="shared" si="4"/>
        <v>0.24108</v>
      </c>
      <c r="X12" s="2"/>
      <c r="Y12" s="2"/>
      <c r="Z12" s="1">
        <v>8</v>
      </c>
      <c r="AA12" s="4">
        <v>0.02054</v>
      </c>
      <c r="AB12" s="2">
        <f t="shared" si="5"/>
        <v>0.16432</v>
      </c>
      <c r="AC12" s="2"/>
      <c r="AD12" s="7">
        <v>0.1279</v>
      </c>
    </row>
    <row r="13" spans="1:30">
      <c r="A13" s="1">
        <v>8.9</v>
      </c>
      <c r="B13" s="8">
        <v>0.001066</v>
      </c>
      <c r="C13" s="2">
        <f t="shared" si="0"/>
        <v>0.0094874</v>
      </c>
      <c r="D13" s="2"/>
      <c r="E13" s="2"/>
      <c r="F13" s="10">
        <v>12</v>
      </c>
      <c r="G13" s="2">
        <v>0.007766</v>
      </c>
      <c r="H13" s="2">
        <f t="shared" si="1"/>
        <v>0.093192</v>
      </c>
      <c r="I13" s="2"/>
      <c r="J13" s="2"/>
      <c r="K13" s="10">
        <v>13</v>
      </c>
      <c r="L13" s="4">
        <v>0.005387</v>
      </c>
      <c r="M13" s="2">
        <f t="shared" si="2"/>
        <v>0.070031</v>
      </c>
      <c r="N13" s="2"/>
      <c r="O13" s="2"/>
      <c r="P13" s="1">
        <v>5</v>
      </c>
      <c r="Q13" s="4">
        <v>0.0008741</v>
      </c>
      <c r="R13" s="2">
        <f t="shared" si="3"/>
        <v>0.0043705</v>
      </c>
      <c r="S13" s="2"/>
      <c r="T13" s="2"/>
      <c r="U13" s="1">
        <v>2</v>
      </c>
      <c r="V13" s="4">
        <v>0.0006294</v>
      </c>
      <c r="W13" s="2">
        <f t="shared" si="4"/>
        <v>0.0012588</v>
      </c>
      <c r="X13" s="2"/>
      <c r="Y13" s="2"/>
      <c r="Z13" s="10">
        <v>12</v>
      </c>
      <c r="AA13" s="4">
        <v>0.005894</v>
      </c>
      <c r="AB13" s="2">
        <f t="shared" si="5"/>
        <v>0.070728</v>
      </c>
      <c r="AC13" s="2"/>
      <c r="AD13" s="7">
        <v>0.00102</v>
      </c>
    </row>
    <row r="14" spans="1:30">
      <c r="A14" s="1">
        <v>9.73</v>
      </c>
      <c r="B14" s="8">
        <v>0.0005988</v>
      </c>
      <c r="C14" s="2">
        <f t="shared" si="0"/>
        <v>0.005826324</v>
      </c>
      <c r="D14" s="2"/>
      <c r="E14" s="2"/>
      <c r="F14" s="1">
        <v>15</v>
      </c>
      <c r="G14" s="2">
        <v>0.0007265</v>
      </c>
      <c r="H14" s="2">
        <f t="shared" si="1"/>
        <v>0.0108975</v>
      </c>
      <c r="I14" s="2"/>
      <c r="J14" s="2"/>
      <c r="K14" s="10">
        <v>8.5</v>
      </c>
      <c r="L14" s="4">
        <v>0.0197</v>
      </c>
      <c r="M14" s="2">
        <f t="shared" si="2"/>
        <v>0.16745</v>
      </c>
      <c r="N14" s="2"/>
      <c r="O14" s="2"/>
      <c r="P14" s="10">
        <v>2</v>
      </c>
      <c r="Q14" s="4">
        <v>0.02689</v>
      </c>
      <c r="R14" s="2">
        <f t="shared" si="3"/>
        <v>0.05378</v>
      </c>
      <c r="S14" s="2"/>
      <c r="T14" s="2"/>
      <c r="U14" s="10">
        <v>3.25</v>
      </c>
      <c r="V14" s="4">
        <v>0.002987</v>
      </c>
      <c r="W14" s="2">
        <f t="shared" si="4"/>
        <v>0.00970775</v>
      </c>
      <c r="X14" s="2"/>
      <c r="Y14" s="2"/>
      <c r="Z14" s="10">
        <v>3</v>
      </c>
      <c r="AA14" s="4">
        <v>0.02281</v>
      </c>
      <c r="AB14" s="2">
        <f t="shared" si="5"/>
        <v>0.06843</v>
      </c>
      <c r="AC14" s="2"/>
      <c r="AD14" s="7">
        <v>0.003929</v>
      </c>
    </row>
    <row r="15" spans="1:30">
      <c r="A15" s="10">
        <v>9.05</v>
      </c>
      <c r="B15" s="8">
        <v>0.004771</v>
      </c>
      <c r="C15" s="2">
        <f t="shared" si="0"/>
        <v>0.04317755</v>
      </c>
      <c r="D15" s="2"/>
      <c r="E15" s="2"/>
      <c r="F15" s="10">
        <v>9</v>
      </c>
      <c r="G15" s="2">
        <v>0.005507</v>
      </c>
      <c r="H15" s="2">
        <f t="shared" si="1"/>
        <v>0.049563</v>
      </c>
      <c r="I15" s="2"/>
      <c r="J15" s="2"/>
      <c r="K15" s="10">
        <v>12.37</v>
      </c>
      <c r="L15" s="4">
        <v>0.002996</v>
      </c>
      <c r="M15" s="2">
        <f t="shared" si="2"/>
        <v>0.03706052</v>
      </c>
      <c r="N15" s="2"/>
      <c r="O15" s="2"/>
      <c r="P15" s="1">
        <v>4</v>
      </c>
      <c r="Q15" s="4">
        <v>7.48e-5</v>
      </c>
      <c r="R15" s="2">
        <f t="shared" si="3"/>
        <v>0.0002992</v>
      </c>
      <c r="S15" s="2"/>
      <c r="T15" s="2"/>
      <c r="U15" s="10">
        <v>2.1</v>
      </c>
      <c r="V15" s="4">
        <v>0.003015</v>
      </c>
      <c r="W15" s="2">
        <f t="shared" si="4"/>
        <v>0.0063315</v>
      </c>
      <c r="X15" s="2"/>
      <c r="Y15" s="2"/>
      <c r="Z15" s="1">
        <v>20</v>
      </c>
      <c r="AA15" s="4">
        <v>6.795e-5</v>
      </c>
      <c r="AB15" s="2">
        <f t="shared" si="5"/>
        <v>0.001359</v>
      </c>
      <c r="AC15" s="2"/>
      <c r="AD15" s="7">
        <v>0.0004798</v>
      </c>
    </row>
    <row r="16" spans="1:30">
      <c r="A16" s="10">
        <v>9.68</v>
      </c>
      <c r="B16" s="8">
        <v>0.001091</v>
      </c>
      <c r="C16" s="2">
        <f t="shared" si="0"/>
        <v>0.01056088</v>
      </c>
      <c r="D16" s="2"/>
      <c r="E16" s="2"/>
      <c r="F16" s="1">
        <v>18</v>
      </c>
      <c r="G16" s="2">
        <v>0.0007159</v>
      </c>
      <c r="H16" s="2">
        <f t="shared" si="1"/>
        <v>0.0128862</v>
      </c>
      <c r="I16" s="2"/>
      <c r="J16" s="2"/>
      <c r="K16" s="10">
        <v>10</v>
      </c>
      <c r="L16" s="4">
        <v>0.006002</v>
      </c>
      <c r="M16" s="2">
        <f t="shared" si="2"/>
        <v>0.06002</v>
      </c>
      <c r="N16" s="2"/>
      <c r="O16" s="2"/>
      <c r="P16" s="1">
        <v>5</v>
      </c>
      <c r="Q16" s="4">
        <v>0.0006444</v>
      </c>
      <c r="R16" s="2">
        <f t="shared" si="3"/>
        <v>0.003222</v>
      </c>
      <c r="S16" s="2"/>
      <c r="T16" s="2"/>
      <c r="U16" s="10">
        <v>2.2</v>
      </c>
      <c r="V16" s="4">
        <v>0.005419</v>
      </c>
      <c r="W16" s="2">
        <f t="shared" si="4"/>
        <v>0.0119218</v>
      </c>
      <c r="X16" s="2"/>
      <c r="Y16" s="2"/>
      <c r="Z16" s="10">
        <v>10</v>
      </c>
      <c r="AA16" s="4">
        <v>0.006716</v>
      </c>
      <c r="AB16" s="2">
        <f t="shared" si="5"/>
        <v>0.06716</v>
      </c>
      <c r="AC16" s="2"/>
      <c r="AD16" s="7">
        <v>0.001098</v>
      </c>
    </row>
    <row r="17" spans="1:30">
      <c r="A17" s="1">
        <v>9.58</v>
      </c>
      <c r="B17" s="8">
        <v>0.0005481</v>
      </c>
      <c r="C17" s="2">
        <f t="shared" si="0"/>
        <v>0.005250798</v>
      </c>
      <c r="D17" s="2"/>
      <c r="E17" s="2"/>
      <c r="F17" s="10">
        <v>18</v>
      </c>
      <c r="G17" s="2">
        <v>0.009181</v>
      </c>
      <c r="H17" s="2">
        <f t="shared" si="1"/>
        <v>0.165258</v>
      </c>
      <c r="I17" s="2"/>
      <c r="J17" s="2"/>
      <c r="K17" s="1">
        <v>30</v>
      </c>
      <c r="L17" s="4">
        <v>0.0005401</v>
      </c>
      <c r="M17" s="2">
        <f t="shared" si="2"/>
        <v>0.016203</v>
      </c>
      <c r="N17" s="2"/>
      <c r="O17" s="2"/>
      <c r="P17" s="10">
        <v>4</v>
      </c>
      <c r="Q17" s="4">
        <v>0.008149</v>
      </c>
      <c r="R17" s="2">
        <f t="shared" si="3"/>
        <v>0.032596</v>
      </c>
      <c r="S17" s="2"/>
      <c r="T17" s="2"/>
      <c r="U17" s="10">
        <v>3.8</v>
      </c>
      <c r="V17" s="4">
        <v>0.0009671</v>
      </c>
      <c r="W17" s="2">
        <f t="shared" si="4"/>
        <v>0.00367498</v>
      </c>
      <c r="X17" s="2"/>
      <c r="Y17" s="2"/>
      <c r="Z17" s="10">
        <v>12</v>
      </c>
      <c r="AA17" s="4">
        <v>0.006953</v>
      </c>
      <c r="AB17" s="2">
        <f t="shared" si="5"/>
        <v>0.083436</v>
      </c>
      <c r="AC17" s="2"/>
      <c r="AD17" s="7">
        <v>0.001155</v>
      </c>
    </row>
    <row r="18" spans="1:30">
      <c r="A18" s="1">
        <v>9.58</v>
      </c>
      <c r="B18" s="8">
        <v>0.0009221</v>
      </c>
      <c r="C18" s="2">
        <f t="shared" si="0"/>
        <v>0.008833718</v>
      </c>
      <c r="D18" s="2"/>
      <c r="E18" s="2"/>
      <c r="F18" s="1">
        <v>20</v>
      </c>
      <c r="G18" s="2">
        <v>0.001168</v>
      </c>
      <c r="H18" s="2">
        <f t="shared" si="1"/>
        <v>0.02336</v>
      </c>
      <c r="I18" s="2"/>
      <c r="J18" s="2"/>
      <c r="K18" s="10">
        <v>60</v>
      </c>
      <c r="L18" s="4">
        <v>0.007294</v>
      </c>
      <c r="M18" s="2">
        <f t="shared" si="2"/>
        <v>0.43764</v>
      </c>
      <c r="N18" s="2"/>
      <c r="O18" s="2"/>
      <c r="P18" s="10">
        <v>11</v>
      </c>
      <c r="Q18" s="4">
        <v>0.009161</v>
      </c>
      <c r="R18" s="2">
        <f t="shared" si="3"/>
        <v>0.100771</v>
      </c>
      <c r="S18" s="2"/>
      <c r="T18" s="2"/>
      <c r="U18" s="1">
        <v>3.8</v>
      </c>
      <c r="V18" s="4">
        <v>0.0007688</v>
      </c>
      <c r="W18" s="2">
        <f t="shared" si="4"/>
        <v>0.00292144</v>
      </c>
      <c r="X18" s="2"/>
      <c r="Y18" s="2"/>
      <c r="Z18" s="10">
        <v>25</v>
      </c>
      <c r="AA18" s="4">
        <v>0.007831</v>
      </c>
      <c r="AB18" s="2">
        <f t="shared" si="5"/>
        <v>0.195775</v>
      </c>
      <c r="AC18" s="2"/>
      <c r="AD18" s="7">
        <v>0.00123</v>
      </c>
    </row>
    <row r="19" spans="1:30">
      <c r="A19" s="9">
        <v>9.69</v>
      </c>
      <c r="B19" s="8">
        <v>0.02659</v>
      </c>
      <c r="C19" s="2">
        <f t="shared" si="0"/>
        <v>0.2576571</v>
      </c>
      <c r="D19" s="2"/>
      <c r="E19" s="2"/>
      <c r="F19" s="9">
        <v>8</v>
      </c>
      <c r="G19" s="2">
        <v>0.00514</v>
      </c>
      <c r="H19" s="2">
        <f t="shared" si="1"/>
        <v>0.04112</v>
      </c>
      <c r="I19" s="2"/>
      <c r="J19" s="2"/>
      <c r="K19" s="9">
        <v>22.19</v>
      </c>
      <c r="L19" s="4">
        <v>0.01962</v>
      </c>
      <c r="M19" s="2">
        <f t="shared" si="2"/>
        <v>0.4353678</v>
      </c>
      <c r="N19" s="2"/>
      <c r="O19" s="2"/>
      <c r="P19" s="1">
        <v>6</v>
      </c>
      <c r="Q19" s="4">
        <v>0.0006365</v>
      </c>
      <c r="R19" s="2">
        <f t="shared" si="3"/>
        <v>0.003819</v>
      </c>
      <c r="S19" s="2"/>
      <c r="T19" s="2"/>
      <c r="U19" s="9">
        <v>3.6</v>
      </c>
      <c r="V19" s="4">
        <v>0.01917</v>
      </c>
      <c r="W19" s="2">
        <f t="shared" si="4"/>
        <v>0.069012</v>
      </c>
      <c r="X19" s="2"/>
      <c r="Y19" s="2"/>
      <c r="Z19" s="1">
        <v>13</v>
      </c>
      <c r="AA19" s="4">
        <v>0.0005543</v>
      </c>
      <c r="AB19" s="2">
        <f t="shared" si="5"/>
        <v>0.0072059</v>
      </c>
      <c r="AC19" s="2"/>
      <c r="AD19" s="7">
        <v>0.004021</v>
      </c>
    </row>
    <row r="20" spans="1:30">
      <c r="A20" s="9">
        <v>9.63</v>
      </c>
      <c r="B20" s="8">
        <v>0.03659</v>
      </c>
      <c r="C20" s="2">
        <f t="shared" si="0"/>
        <v>0.3523617</v>
      </c>
      <c r="D20" s="2"/>
      <c r="E20" s="2"/>
      <c r="F20" s="1">
        <v>20</v>
      </c>
      <c r="G20" s="2">
        <v>0.00172</v>
      </c>
      <c r="H20" s="2">
        <f t="shared" si="1"/>
        <v>0.0344</v>
      </c>
      <c r="I20" s="2"/>
      <c r="J20" s="2"/>
      <c r="K20" s="9">
        <v>9.63</v>
      </c>
      <c r="L20" s="4">
        <v>0.02259</v>
      </c>
      <c r="M20" s="2">
        <f t="shared" si="2"/>
        <v>0.2175417</v>
      </c>
      <c r="N20" s="2"/>
      <c r="O20" s="2"/>
      <c r="P20" s="1">
        <v>4</v>
      </c>
      <c r="Q20" s="4">
        <v>0.001531</v>
      </c>
      <c r="R20" s="2">
        <f t="shared" si="3"/>
        <v>0.006124</v>
      </c>
      <c r="S20" s="2"/>
      <c r="T20" s="2"/>
      <c r="U20" s="9">
        <v>4.3</v>
      </c>
      <c r="V20" s="4">
        <v>0.02814</v>
      </c>
      <c r="W20" s="2">
        <f t="shared" si="4"/>
        <v>0.121002</v>
      </c>
      <c r="X20" s="2"/>
      <c r="Y20" s="2"/>
      <c r="Z20" s="9">
        <v>12</v>
      </c>
      <c r="AA20" s="4">
        <v>0.03334</v>
      </c>
      <c r="AB20" s="2">
        <f t="shared" si="5"/>
        <v>0.40008</v>
      </c>
      <c r="AC20" s="2"/>
      <c r="AD20" s="7">
        <v>0.009156</v>
      </c>
    </row>
    <row r="21" spans="1:30">
      <c r="A21" s="9">
        <v>9.61</v>
      </c>
      <c r="B21" s="8">
        <v>0.004972</v>
      </c>
      <c r="C21" s="2">
        <f t="shared" si="0"/>
        <v>0.04778092</v>
      </c>
      <c r="D21" s="2"/>
      <c r="E21" s="2"/>
      <c r="F21" s="1">
        <v>17</v>
      </c>
      <c r="G21" s="2">
        <v>0.000814</v>
      </c>
      <c r="H21" s="2">
        <f t="shared" si="1"/>
        <v>0.013838</v>
      </c>
      <c r="I21" s="2"/>
      <c r="J21" s="2"/>
      <c r="K21" s="9">
        <v>7.12</v>
      </c>
      <c r="L21" s="4">
        <v>0.02254</v>
      </c>
      <c r="M21" s="2">
        <f t="shared" si="2"/>
        <v>0.1604848</v>
      </c>
      <c r="N21" s="2"/>
      <c r="O21" s="2"/>
      <c r="P21" s="1">
        <v>7</v>
      </c>
      <c r="Q21" s="4">
        <v>0.0007584</v>
      </c>
      <c r="R21" s="2">
        <f t="shared" si="3"/>
        <v>0.0053088</v>
      </c>
      <c r="S21" s="2"/>
      <c r="T21" s="2"/>
      <c r="U21" s="9">
        <v>2.6</v>
      </c>
      <c r="V21" s="4">
        <v>0.02083</v>
      </c>
      <c r="W21" s="2">
        <f t="shared" si="4"/>
        <v>0.054158</v>
      </c>
      <c r="X21" s="2"/>
      <c r="Y21" s="2"/>
      <c r="Z21" s="9">
        <v>12</v>
      </c>
      <c r="AA21" s="4">
        <v>0.02788</v>
      </c>
      <c r="AB21" s="2">
        <f t="shared" si="5"/>
        <v>0.33456</v>
      </c>
      <c r="AC21" s="2"/>
      <c r="AD21" s="7">
        <v>0.004598</v>
      </c>
    </row>
    <row r="22" spans="1:30">
      <c r="A22" s="10">
        <v>9.8</v>
      </c>
      <c r="B22" s="8">
        <v>0.006774</v>
      </c>
      <c r="C22" s="2">
        <f t="shared" si="0"/>
        <v>0.0663852</v>
      </c>
      <c r="D22" s="2"/>
      <c r="E22" s="2"/>
      <c r="F22" s="1">
        <v>21</v>
      </c>
      <c r="G22" s="2">
        <v>0.001227</v>
      </c>
      <c r="H22" s="2">
        <f t="shared" si="1"/>
        <v>0.025767</v>
      </c>
      <c r="I22" s="2"/>
      <c r="J22" s="2"/>
      <c r="K22" s="10">
        <v>17.5</v>
      </c>
      <c r="L22" s="4">
        <v>0.006148</v>
      </c>
      <c r="M22" s="2">
        <f t="shared" si="2"/>
        <v>0.10759</v>
      </c>
      <c r="N22" s="2"/>
      <c r="O22" s="2"/>
      <c r="P22" s="10">
        <v>8</v>
      </c>
      <c r="Q22" s="4">
        <v>0.008187</v>
      </c>
      <c r="R22" s="2">
        <f t="shared" si="3"/>
        <v>0.065496</v>
      </c>
      <c r="S22" s="2"/>
      <c r="T22" s="2"/>
      <c r="U22" s="10">
        <v>2.3</v>
      </c>
      <c r="V22" s="4">
        <v>0.005402</v>
      </c>
      <c r="W22" s="2">
        <f t="shared" si="4"/>
        <v>0.0124246</v>
      </c>
      <c r="X22" s="2"/>
      <c r="Y22" s="2"/>
      <c r="Z22" s="1">
        <v>17</v>
      </c>
      <c r="AA22" s="4">
        <v>0.0009389</v>
      </c>
      <c r="AB22" s="2">
        <f t="shared" si="5"/>
        <v>0.0159613</v>
      </c>
      <c r="AC22" s="2"/>
      <c r="AD22" s="7">
        <v>0.001855</v>
      </c>
    </row>
    <row r="23" spans="1:30">
      <c r="A23" s="10">
        <v>9.72</v>
      </c>
      <c r="B23" s="8">
        <v>0.004111</v>
      </c>
      <c r="C23" s="2">
        <f t="shared" si="0"/>
        <v>0.03995892</v>
      </c>
      <c r="D23" s="2"/>
      <c r="E23" s="2"/>
      <c r="F23" s="10">
        <v>8</v>
      </c>
      <c r="G23" s="2">
        <v>0.0289</v>
      </c>
      <c r="H23" s="2">
        <f t="shared" si="1"/>
        <v>0.2312</v>
      </c>
      <c r="I23" s="2"/>
      <c r="J23" s="2"/>
      <c r="K23" s="10">
        <v>13</v>
      </c>
      <c r="L23" s="4">
        <v>0.01828</v>
      </c>
      <c r="M23" s="2">
        <f t="shared" si="2"/>
        <v>0.23764</v>
      </c>
      <c r="N23" s="2"/>
      <c r="O23" s="2"/>
      <c r="P23" s="1">
        <v>4</v>
      </c>
      <c r="Q23" s="4">
        <v>0.0005893</v>
      </c>
      <c r="R23" s="2">
        <f t="shared" si="3"/>
        <v>0.0023572</v>
      </c>
      <c r="S23" s="2"/>
      <c r="T23" s="2"/>
      <c r="U23" s="1">
        <v>3.2</v>
      </c>
      <c r="V23" s="4">
        <v>0.0004076</v>
      </c>
      <c r="W23" s="2">
        <f t="shared" si="4"/>
        <v>0.00130432</v>
      </c>
      <c r="X23" s="2"/>
      <c r="Y23" s="2"/>
      <c r="Z23" s="10">
        <v>12</v>
      </c>
      <c r="AA23" s="4">
        <v>0.02215</v>
      </c>
      <c r="AB23" s="2">
        <f t="shared" si="5"/>
        <v>0.2658</v>
      </c>
      <c r="AC23" s="2"/>
      <c r="AD23" s="7">
        <v>0.003732</v>
      </c>
    </row>
    <row r="24" spans="1:30">
      <c r="A24" s="10">
        <v>9.72</v>
      </c>
      <c r="B24" s="8">
        <v>0.006768</v>
      </c>
      <c r="C24" s="2">
        <f t="shared" si="0"/>
        <v>0.06578496</v>
      </c>
      <c r="D24" s="2"/>
      <c r="E24" s="2"/>
      <c r="F24" s="1">
        <v>18</v>
      </c>
      <c r="G24" s="2">
        <v>0.001059</v>
      </c>
      <c r="H24" s="2">
        <f t="shared" si="1"/>
        <v>0.019062</v>
      </c>
      <c r="I24" s="2"/>
      <c r="J24" s="2"/>
      <c r="K24" s="10">
        <v>30</v>
      </c>
      <c r="L24" s="4">
        <v>0.005542</v>
      </c>
      <c r="M24" s="2">
        <f t="shared" si="2"/>
        <v>0.16626</v>
      </c>
      <c r="N24" s="2"/>
      <c r="O24" s="2"/>
      <c r="P24" s="1">
        <v>4</v>
      </c>
      <c r="Q24" s="4">
        <v>0.0008908</v>
      </c>
      <c r="R24" s="2">
        <f t="shared" si="3"/>
        <v>0.0035632</v>
      </c>
      <c r="S24" s="2"/>
      <c r="T24" s="2"/>
      <c r="U24" s="10">
        <v>2.3</v>
      </c>
      <c r="V24" s="4">
        <v>0.004572</v>
      </c>
      <c r="W24" s="2">
        <f t="shared" si="4"/>
        <v>0.0105156</v>
      </c>
      <c r="X24" s="2"/>
      <c r="Y24" s="2"/>
      <c r="Z24" s="10">
        <v>10</v>
      </c>
      <c r="AA24" s="4">
        <v>0.005999</v>
      </c>
      <c r="AB24" s="2">
        <f t="shared" si="5"/>
        <v>0.05999</v>
      </c>
      <c r="AC24" s="2"/>
      <c r="AD24" s="7">
        <v>0.001623</v>
      </c>
    </row>
    <row r="25" spans="1:30">
      <c r="A25" s="1">
        <v>9.5</v>
      </c>
      <c r="B25" s="8">
        <v>0.0007798</v>
      </c>
      <c r="C25" s="2">
        <f t="shared" si="0"/>
        <v>0.0074081</v>
      </c>
      <c r="D25" s="2"/>
      <c r="E25" s="2"/>
      <c r="F25" s="10">
        <v>8</v>
      </c>
      <c r="G25" s="2">
        <v>0.02063</v>
      </c>
      <c r="H25" s="2">
        <f t="shared" si="1"/>
        <v>0.16504</v>
      </c>
      <c r="I25" s="2"/>
      <c r="J25" s="2"/>
      <c r="K25" s="10">
        <v>8.01</v>
      </c>
      <c r="L25" s="4">
        <v>0.01211</v>
      </c>
      <c r="M25" s="2">
        <f t="shared" si="2"/>
        <v>0.0970011</v>
      </c>
      <c r="N25" s="2"/>
      <c r="O25" s="2"/>
      <c r="P25" s="10">
        <v>25</v>
      </c>
      <c r="Q25" s="4">
        <v>0.021</v>
      </c>
      <c r="R25" s="2">
        <f t="shared" si="3"/>
        <v>0.525</v>
      </c>
      <c r="S25" s="2"/>
      <c r="T25" s="2"/>
      <c r="U25" s="1">
        <v>3</v>
      </c>
      <c r="V25" s="4">
        <v>0.0004567</v>
      </c>
      <c r="W25" s="2">
        <f t="shared" si="4"/>
        <v>0.0013701</v>
      </c>
      <c r="X25" s="2"/>
      <c r="Y25" s="2"/>
      <c r="Z25" s="10">
        <v>25</v>
      </c>
      <c r="AA25" s="4">
        <v>0.01708</v>
      </c>
      <c r="AB25" s="2">
        <f t="shared" si="5"/>
        <v>0.427</v>
      </c>
      <c r="AC25" s="2"/>
      <c r="AD25" s="7">
        <v>0.004561</v>
      </c>
    </row>
    <row r="26" spans="1:30">
      <c r="A26" s="1">
        <v>9.43</v>
      </c>
      <c r="B26" s="8">
        <v>0.0006327</v>
      </c>
      <c r="C26" s="2">
        <f t="shared" si="0"/>
        <v>0.005966361</v>
      </c>
      <c r="D26" s="2"/>
      <c r="E26" s="2"/>
      <c r="F26" s="1">
        <v>16</v>
      </c>
      <c r="G26" s="2">
        <v>0.0007051</v>
      </c>
      <c r="H26" s="2">
        <f t="shared" si="1"/>
        <v>0.0112816</v>
      </c>
      <c r="I26" s="2"/>
      <c r="J26" s="2"/>
      <c r="K26" s="9">
        <v>5</v>
      </c>
      <c r="L26" s="4">
        <v>0.005144</v>
      </c>
      <c r="M26" s="2">
        <f t="shared" si="2"/>
        <v>0.02572</v>
      </c>
      <c r="N26" s="2"/>
      <c r="O26" s="2"/>
      <c r="P26" s="9">
        <v>4</v>
      </c>
      <c r="Q26" s="4">
        <v>0.007622</v>
      </c>
      <c r="R26" s="2">
        <f t="shared" si="3"/>
        <v>0.030488</v>
      </c>
      <c r="S26" s="2"/>
      <c r="T26" s="2"/>
      <c r="U26" s="9">
        <v>3.2</v>
      </c>
      <c r="V26" s="4">
        <v>0.0008549</v>
      </c>
      <c r="W26" s="2">
        <f t="shared" si="4"/>
        <v>0.00273568</v>
      </c>
      <c r="X26" s="2"/>
      <c r="Y26" s="2"/>
      <c r="Z26" s="9">
        <v>10</v>
      </c>
      <c r="AA26" s="4">
        <v>0.006551</v>
      </c>
      <c r="AB26" s="2">
        <f t="shared" si="5"/>
        <v>0.06551</v>
      </c>
      <c r="AC26" s="2"/>
      <c r="AD26" s="7">
        <v>0.001074</v>
      </c>
    </row>
    <row r="27" spans="1:30">
      <c r="A27" s="10">
        <v>8.97</v>
      </c>
      <c r="B27" s="8">
        <v>1.903e-5</v>
      </c>
      <c r="C27" s="2">
        <f t="shared" si="0"/>
        <v>0.0001706991</v>
      </c>
      <c r="D27" s="2"/>
      <c r="E27" s="2"/>
      <c r="F27" s="1">
        <v>22</v>
      </c>
      <c r="G27" s="2">
        <v>9.312e-6</v>
      </c>
      <c r="H27" s="2">
        <f t="shared" si="1"/>
        <v>0.000204864</v>
      </c>
      <c r="I27" s="2"/>
      <c r="J27" s="2"/>
      <c r="K27" s="10">
        <v>13.07</v>
      </c>
      <c r="L27" s="4">
        <v>1.354e-5</v>
      </c>
      <c r="M27" s="2">
        <f t="shared" si="2"/>
        <v>0.0001769678</v>
      </c>
      <c r="N27" s="2"/>
      <c r="O27" s="2"/>
      <c r="P27" s="10">
        <v>13</v>
      </c>
      <c r="Q27" s="4">
        <v>8.533e-6</v>
      </c>
      <c r="R27" s="2">
        <f t="shared" si="3"/>
        <v>0.000110929</v>
      </c>
      <c r="S27" s="2"/>
      <c r="T27" s="2"/>
      <c r="U27" s="10">
        <v>1.7</v>
      </c>
      <c r="V27" s="4">
        <v>1.236e-5</v>
      </c>
      <c r="W27" s="2">
        <f t="shared" si="4"/>
        <v>2.1012e-5</v>
      </c>
      <c r="X27" s="2"/>
      <c r="Y27" s="2"/>
      <c r="Z27" s="10">
        <v>12</v>
      </c>
      <c r="AA27" s="4">
        <v>1.64e-5</v>
      </c>
      <c r="AB27" s="2">
        <f t="shared" si="5"/>
        <v>0.0001968</v>
      </c>
      <c r="AC27" s="2"/>
      <c r="AD27" s="7">
        <v>1.788e-6</v>
      </c>
    </row>
    <row r="28" spans="1:30">
      <c r="A28" s="10">
        <v>10.83</v>
      </c>
      <c r="B28" s="8">
        <v>0.000723</v>
      </c>
      <c r="C28" s="2">
        <f t="shared" si="0"/>
        <v>0.00783009</v>
      </c>
      <c r="D28" s="2"/>
      <c r="E28" s="2"/>
      <c r="F28" s="10">
        <v>12</v>
      </c>
      <c r="G28" s="2">
        <v>0.001237</v>
      </c>
      <c r="H28" s="2">
        <f t="shared" si="1"/>
        <v>0.014844</v>
      </c>
      <c r="I28" s="2"/>
      <c r="J28" s="2"/>
      <c r="K28" s="10">
        <v>13.28</v>
      </c>
      <c r="L28" s="4">
        <v>0.0006555</v>
      </c>
      <c r="M28" s="2">
        <f t="shared" si="2"/>
        <v>0.00870504</v>
      </c>
      <c r="N28" s="2"/>
      <c r="O28" s="2"/>
      <c r="P28" s="10">
        <v>13</v>
      </c>
      <c r="Q28" s="4">
        <v>0.0006818</v>
      </c>
      <c r="R28" s="2">
        <f t="shared" si="3"/>
        <v>0.0088634</v>
      </c>
      <c r="S28" s="2"/>
      <c r="T28" s="2"/>
      <c r="U28" s="10">
        <v>2.4</v>
      </c>
      <c r="V28" s="4">
        <v>0.0006853</v>
      </c>
      <c r="W28" s="2">
        <f t="shared" si="4"/>
        <v>0.00164472</v>
      </c>
      <c r="X28" s="2"/>
      <c r="Y28" s="2"/>
      <c r="Z28" s="1">
        <v>16</v>
      </c>
      <c r="AA28" s="4">
        <v>1.803e-5</v>
      </c>
      <c r="AB28" s="2">
        <f t="shared" si="5"/>
        <v>0.00028848</v>
      </c>
      <c r="AC28" s="2"/>
      <c r="AD28" s="7">
        <v>0.000144</v>
      </c>
    </row>
    <row r="29" spans="1:30">
      <c r="A29" s="9">
        <v>6.12</v>
      </c>
      <c r="B29" s="8">
        <v>1.423e-5</v>
      </c>
      <c r="C29" s="2">
        <f t="shared" si="0"/>
        <v>8.70876e-5</v>
      </c>
      <c r="D29" s="2"/>
      <c r="E29" s="2"/>
      <c r="F29" s="9">
        <v>12</v>
      </c>
      <c r="G29" s="2">
        <v>1.498e-5</v>
      </c>
      <c r="H29" s="2">
        <f t="shared" si="1"/>
        <v>0.00017976</v>
      </c>
      <c r="I29" s="2"/>
      <c r="J29" s="2"/>
      <c r="K29" s="9">
        <v>7.21</v>
      </c>
      <c r="L29" s="4">
        <v>8.563e-6</v>
      </c>
      <c r="M29" s="2">
        <f t="shared" si="2"/>
        <v>6.173923e-5</v>
      </c>
      <c r="N29" s="2"/>
      <c r="O29" s="2"/>
      <c r="P29" s="9">
        <v>19</v>
      </c>
      <c r="Q29" s="4">
        <v>6.154e-6</v>
      </c>
      <c r="R29" s="2">
        <f t="shared" si="3"/>
        <v>0.000116926</v>
      </c>
      <c r="S29" s="2"/>
      <c r="T29" s="2"/>
      <c r="U29" s="9">
        <v>14</v>
      </c>
      <c r="V29" s="4">
        <v>4.281e-6</v>
      </c>
      <c r="W29" s="2">
        <f t="shared" si="4"/>
        <v>5.9934e-5</v>
      </c>
      <c r="X29" s="2"/>
      <c r="Y29" s="2"/>
      <c r="Z29" s="9">
        <v>8</v>
      </c>
      <c r="AA29" s="4">
        <v>1.032e-5</v>
      </c>
      <c r="AB29" s="2">
        <f t="shared" si="5"/>
        <v>8.256e-5</v>
      </c>
      <c r="AC29" s="2"/>
      <c r="AD29" s="7">
        <v>1.256e-6</v>
      </c>
    </row>
    <row r="30" spans="1:30">
      <c r="A30" s="10">
        <v>9.96</v>
      </c>
      <c r="B30" s="8">
        <v>1.945e-5</v>
      </c>
      <c r="C30" s="2">
        <f t="shared" si="0"/>
        <v>0.000193722</v>
      </c>
      <c r="D30" s="2"/>
      <c r="E30" s="2"/>
      <c r="F30" s="10">
        <v>33</v>
      </c>
      <c r="G30" s="2">
        <v>2.181e-5</v>
      </c>
      <c r="H30" s="2">
        <f t="shared" si="1"/>
        <v>0.00071973</v>
      </c>
      <c r="I30" s="2"/>
      <c r="J30" s="2"/>
      <c r="K30" s="10">
        <v>3.98</v>
      </c>
      <c r="L30" s="4">
        <v>1.306e-5</v>
      </c>
      <c r="M30" s="2">
        <f t="shared" si="2"/>
        <v>5.19788e-5</v>
      </c>
      <c r="N30" s="2"/>
      <c r="O30" s="2"/>
      <c r="P30" s="10">
        <v>97</v>
      </c>
      <c r="Q30" s="4">
        <v>2.274e-5</v>
      </c>
      <c r="R30" s="2">
        <f t="shared" si="3"/>
        <v>0.00220578</v>
      </c>
      <c r="S30" s="2"/>
      <c r="T30" s="2"/>
      <c r="U30" s="10">
        <v>2.4</v>
      </c>
      <c r="V30" s="4">
        <v>1.304e-5</v>
      </c>
      <c r="W30" s="2">
        <f t="shared" si="4"/>
        <v>3.1296e-5</v>
      </c>
      <c r="X30" s="2"/>
      <c r="Y30" s="2"/>
      <c r="Z30" s="10">
        <v>8</v>
      </c>
      <c r="AA30" s="4">
        <v>1.693e-5</v>
      </c>
      <c r="AB30" s="2">
        <f t="shared" si="5"/>
        <v>0.00013544</v>
      </c>
      <c r="AC30" s="2"/>
      <c r="AD30" s="7">
        <v>2.588e-6</v>
      </c>
    </row>
    <row r="31" spans="1:30">
      <c r="A31">
        <f>AVERAGE(A1:A30)</f>
        <v>9.291</v>
      </c>
      <c r="B31" s="11">
        <v>9.58</v>
      </c>
      <c r="C31" s="2">
        <f>SUM(C1:C30)</f>
        <v>9.1839713297</v>
      </c>
      <c r="D31" s="2"/>
      <c r="E31" s="2"/>
      <c r="F31">
        <f>AVERAGE(F1:F30)</f>
        <v>17.6666666666667</v>
      </c>
      <c r="G31" s="12">
        <v>20</v>
      </c>
      <c r="H31" s="2">
        <f>SUM(H1:H30)</f>
        <v>18.270211654</v>
      </c>
      <c r="I31" s="2"/>
      <c r="J31" s="2"/>
      <c r="K31">
        <f>AVERAGE(K1:K30)</f>
        <v>15.5626666666667</v>
      </c>
      <c r="L31" s="11">
        <v>20.91</v>
      </c>
      <c r="M31" s="2">
        <f>SUM(M1:M30)</f>
        <v>20.06802190583</v>
      </c>
      <c r="N31" s="2"/>
      <c r="O31" s="2"/>
      <c r="P31">
        <f>AVERAGE(P1:P30)</f>
        <v>11.8666666666667</v>
      </c>
      <c r="Q31" s="11">
        <v>6</v>
      </c>
      <c r="R31" s="2">
        <f>SUM(R1:R30)</f>
        <v>7.001432935</v>
      </c>
      <c r="S31" s="2"/>
      <c r="T31" s="2"/>
      <c r="U31">
        <f>AVERAGE(U1:U30)</f>
        <v>3.315</v>
      </c>
      <c r="V31" s="11">
        <v>2.74</v>
      </c>
      <c r="W31" s="2">
        <f>SUM(W1:W30)</f>
        <v>3.462083152</v>
      </c>
      <c r="X31" s="2"/>
      <c r="Y31" s="2"/>
      <c r="Z31">
        <f>AVERAGE(Z1:Z30)</f>
        <v>12.8</v>
      </c>
      <c r="AA31" s="11">
        <v>16</v>
      </c>
      <c r="AB31" s="2">
        <f>SUM(AB1:AB30)</f>
        <v>12.56009648</v>
      </c>
      <c r="AC31" s="2"/>
      <c r="AD31" s="7"/>
    </row>
    <row r="32" spans="1:30">
      <c r="A32" s="13">
        <v>48</v>
      </c>
    </row>
    <row r="33" spans="1:1">
      <c r="A33" s="13">
        <v>0.02</v>
      </c>
    </row>
    <row r="34" spans="1:1">
      <c r="A34" s="13">
        <v>0.02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Sheet4</vt:lpstr>
      <vt:lpstr>Sheet1</vt:lpstr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Wants Young</cp:lastModifiedBy>
  <dcterms:created xsi:type="dcterms:W3CDTF">2015-06-05T18:19:00Z</dcterms:created>
  <dcterms:modified xsi:type="dcterms:W3CDTF">2025-11-13T15:52:54Z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C0F9E2F74B0C4890827D8886A0610C63</vt:lpwstr>
  </property>
  <property fmtid="{D5CDD505-2E9C-101B-9397-08002B2CF9AE}" pid="3" name="KSOProductBuildVer">
    <vt:lpwstr>2052-12.1.0.23542</vt:lpwstr>
  </property>
</Properties>
</file>